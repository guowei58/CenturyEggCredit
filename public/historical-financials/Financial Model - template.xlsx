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esearch - 8 files\"/>
    </mc:Choice>
  </mc:AlternateContent>
  <xr:revisionPtr revIDLastSave="0" documentId="13_ncr:1_{7962882A-8071-45C3-9203-20146E748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6" r:id="rId1"/>
    <sheet name="Org Chart" sheetId="41" r:id="rId2"/>
    <sheet name="Financials" sheetId="36" r:id="rId3"/>
  </sheets>
  <definedNames>
    <definedName name="__FDS_HYPERLINK_TOGGLE_STATE__" hidden="1">"ON"</definedName>
    <definedName name="_Order1" hidden="1">0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38659.6947916666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_xlnm.Print_Area" localSheetId="2">Financials!$A$1:$BL$421</definedName>
    <definedName name="_xlnm.Print_Area" localSheetId="1">'Org Chart'!$A$1:$AP$45</definedName>
    <definedName name="_xlnm.Print_Area" localSheetId="0">Summary!$A$1:$R$109</definedName>
    <definedName name="_xlnm.Print_Titles" localSheetId="2">Financials!$1:$1</definedName>
    <definedName name="wrn.fcb2" localSheetId="1" hidden="1">{"FCB_ALL",#N/A,FALSE,"FCB"}</definedName>
    <definedName name="wrn.fcb2" localSheetId="0" hidden="1">{"FCB_ALL",#N/A,FALSE,"FCB"}</definedName>
    <definedName name="wrn.fcb2" hidden="1">{"FCB_ALL",#N/A,FALSE,"FCB"}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35" i="36" l="1"/>
  <c r="AW234" i="36"/>
  <c r="AW233" i="36"/>
  <c r="AW232" i="36"/>
  <c r="AW231" i="36"/>
  <c r="AW230" i="36"/>
  <c r="AW229" i="36"/>
  <c r="AW228" i="36"/>
  <c r="AW227" i="36"/>
  <c r="AX288" i="36"/>
  <c r="AW288" i="36"/>
  <c r="AV288" i="36"/>
  <c r="AU288" i="36"/>
  <c r="AT288" i="36"/>
  <c r="AS288" i="36"/>
  <c r="AR288" i="36"/>
  <c r="AQ288" i="36"/>
  <c r="AP288" i="36"/>
  <c r="AO288" i="36"/>
  <c r="AN288" i="36"/>
  <c r="AM288" i="36"/>
  <c r="AL288" i="36"/>
  <c r="AK288" i="36"/>
  <c r="AJ288" i="36"/>
  <c r="AI288" i="36"/>
  <c r="AH288" i="36"/>
  <c r="AG288" i="36"/>
  <c r="AF288" i="36"/>
  <c r="AE288" i="36"/>
  <c r="AD288" i="36"/>
  <c r="AC288" i="36"/>
  <c r="AB288" i="36"/>
  <c r="AA288" i="36"/>
  <c r="Z288" i="36"/>
  <c r="Y288" i="36"/>
  <c r="X288" i="36"/>
  <c r="W288" i="36"/>
  <c r="V288" i="36"/>
  <c r="U288" i="36"/>
  <c r="T288" i="36"/>
  <c r="S288" i="36"/>
  <c r="R288" i="36"/>
  <c r="Q288" i="36"/>
  <c r="P288" i="36"/>
  <c r="O288" i="36"/>
  <c r="N288" i="36"/>
  <c r="M288" i="36"/>
  <c r="L288" i="36"/>
  <c r="K288" i="36"/>
  <c r="J288" i="36"/>
  <c r="I288" i="36"/>
  <c r="H288" i="36"/>
  <c r="G288" i="36"/>
  <c r="F288" i="36"/>
  <c r="E288" i="36"/>
  <c r="AW30" i="36"/>
  <c r="BC17" i="36"/>
  <c r="BD17" i="36"/>
  <c r="BE17" i="36" s="1"/>
  <c r="BF17" i="36" s="1"/>
  <c r="BG17" i="36" s="1"/>
  <c r="BH17" i="36" s="1"/>
  <c r="BI17" i="36" s="1"/>
  <c r="BJ17" i="36" s="1"/>
  <c r="BK17" i="36" s="1"/>
  <c r="BL17" i="36" s="1"/>
  <c r="AY17" i="36"/>
  <c r="AZ17" i="36" s="1"/>
  <c r="BA17" i="36" s="1"/>
  <c r="BB17" i="36" s="1"/>
  <c r="BL356" i="36"/>
  <c r="BK356" i="36"/>
  <c r="BJ356" i="36"/>
  <c r="BI356" i="36"/>
  <c r="BG356" i="36"/>
  <c r="BF356" i="36"/>
  <c r="BE356" i="36"/>
  <c r="BD356" i="36"/>
  <c r="BB356" i="36"/>
  <c r="BA356" i="36"/>
  <c r="AZ356" i="36"/>
  <c r="AY356" i="36"/>
  <c r="BH395" i="36"/>
  <c r="BC395" i="36"/>
  <c r="Q274" i="36"/>
  <c r="P274" i="36"/>
  <c r="O274" i="36"/>
  <c r="N274" i="36"/>
  <c r="M274" i="36"/>
  <c r="L274" i="36"/>
  <c r="K274" i="36"/>
  <c r="J274" i="36"/>
  <c r="I274" i="36"/>
  <c r="H274" i="36"/>
  <c r="G274" i="36"/>
  <c r="F274" i="36"/>
  <c r="E274" i="36"/>
  <c r="Q273" i="36"/>
  <c r="Q276" i="36" s="1"/>
  <c r="P273" i="36"/>
  <c r="P276" i="36" s="1"/>
  <c r="O273" i="36"/>
  <c r="N273" i="36"/>
  <c r="M273" i="36"/>
  <c r="M276" i="36" s="1"/>
  <c r="L273" i="36"/>
  <c r="L276" i="36" s="1"/>
  <c r="K273" i="36"/>
  <c r="K276" i="36" s="1"/>
  <c r="J273" i="36"/>
  <c r="J276" i="36" s="1"/>
  <c r="I273" i="36"/>
  <c r="I276" i="36" s="1"/>
  <c r="H273" i="36"/>
  <c r="H276" i="36" s="1"/>
  <c r="G273" i="36"/>
  <c r="F273" i="36"/>
  <c r="E273" i="36"/>
  <c r="E276" i="36" s="1"/>
  <c r="Q249" i="36"/>
  <c r="Q250" i="36" s="1"/>
  <c r="P249" i="36"/>
  <c r="O249" i="36"/>
  <c r="N249" i="36"/>
  <c r="M249" i="36"/>
  <c r="L249" i="36"/>
  <c r="K249" i="36"/>
  <c r="J249" i="36"/>
  <c r="J250" i="36" s="1"/>
  <c r="I249" i="36"/>
  <c r="I250" i="36" s="1"/>
  <c r="H249" i="36"/>
  <c r="G249" i="36"/>
  <c r="F249" i="36"/>
  <c r="E249" i="36"/>
  <c r="F244" i="36"/>
  <c r="Q237" i="36"/>
  <c r="P237" i="36"/>
  <c r="O237" i="36"/>
  <c r="N237" i="36"/>
  <c r="M237" i="36"/>
  <c r="L237" i="36"/>
  <c r="L238" i="36" s="1"/>
  <c r="K237" i="36"/>
  <c r="J237" i="36"/>
  <c r="J238" i="36" s="1"/>
  <c r="I237" i="36"/>
  <c r="H237" i="36"/>
  <c r="G237" i="36"/>
  <c r="F237" i="36"/>
  <c r="E237" i="36"/>
  <c r="L221" i="36"/>
  <c r="M215" i="36"/>
  <c r="E215" i="36"/>
  <c r="Q211" i="36"/>
  <c r="Q227" i="36" s="1"/>
  <c r="P211" i="36"/>
  <c r="P227" i="36" s="1"/>
  <c r="O211" i="36"/>
  <c r="O227" i="36" s="1"/>
  <c r="N211" i="36"/>
  <c r="M211" i="36"/>
  <c r="N227" i="36" s="1"/>
  <c r="L211" i="36"/>
  <c r="L217" i="36" s="1"/>
  <c r="K211" i="36"/>
  <c r="K227" i="36" s="1"/>
  <c r="J211" i="36"/>
  <c r="J227" i="36" s="1"/>
  <c r="I211" i="36"/>
  <c r="I227" i="36" s="1"/>
  <c r="H211" i="36"/>
  <c r="H227" i="36" s="1"/>
  <c r="G211" i="36"/>
  <c r="G227" i="36" s="1"/>
  <c r="F211" i="36"/>
  <c r="E211" i="36"/>
  <c r="F227" i="36" s="1"/>
  <c r="Q210" i="36"/>
  <c r="Q226" i="36" s="1"/>
  <c r="P210" i="36"/>
  <c r="P226" i="36" s="1"/>
  <c r="O210" i="36"/>
  <c r="O226" i="36" s="1"/>
  <c r="N210" i="36"/>
  <c r="N226" i="36" s="1"/>
  <c r="M210" i="36"/>
  <c r="M226" i="36" s="1"/>
  <c r="L210" i="36"/>
  <c r="L226" i="36" s="1"/>
  <c r="K210" i="36"/>
  <c r="J210" i="36"/>
  <c r="K226" i="36" s="1"/>
  <c r="I210" i="36"/>
  <c r="I226" i="36" s="1"/>
  <c r="H210" i="36"/>
  <c r="H226" i="36" s="1"/>
  <c r="G210" i="36"/>
  <c r="G226" i="36" s="1"/>
  <c r="F210" i="36"/>
  <c r="F226" i="36" s="1"/>
  <c r="E210" i="36"/>
  <c r="Q209" i="36"/>
  <c r="Q225" i="36" s="1"/>
  <c r="P209" i="36"/>
  <c r="O209" i="36"/>
  <c r="P225" i="36" s="1"/>
  <c r="N209" i="36"/>
  <c r="N212" i="36" s="1"/>
  <c r="M209" i="36"/>
  <c r="M225" i="36" s="1"/>
  <c r="L209" i="36"/>
  <c r="L225" i="36" s="1"/>
  <c r="K209" i="36"/>
  <c r="K225" i="36" s="1"/>
  <c r="J209" i="36"/>
  <c r="J225" i="36" s="1"/>
  <c r="I209" i="36"/>
  <c r="I225" i="36" s="1"/>
  <c r="H209" i="36"/>
  <c r="G209" i="36"/>
  <c r="H225" i="36" s="1"/>
  <c r="F209" i="36"/>
  <c r="F212" i="36" s="1"/>
  <c r="E209" i="36"/>
  <c r="Q207" i="36"/>
  <c r="Q208" i="36" s="1"/>
  <c r="P207" i="36"/>
  <c r="P208" i="36" s="1"/>
  <c r="P224" i="36" s="1"/>
  <c r="O207" i="36"/>
  <c r="O208" i="36" s="1"/>
  <c r="O224" i="36" s="1"/>
  <c r="N207" i="36"/>
  <c r="N208" i="36" s="1"/>
  <c r="N224" i="36" s="1"/>
  <c r="M207" i="36"/>
  <c r="M208" i="36" s="1"/>
  <c r="L207" i="36"/>
  <c r="K207" i="36"/>
  <c r="K208" i="36" s="1"/>
  <c r="K224" i="36" s="1"/>
  <c r="J207" i="36"/>
  <c r="J208" i="36" s="1"/>
  <c r="J224" i="36" s="1"/>
  <c r="I207" i="36"/>
  <c r="I208" i="36" s="1"/>
  <c r="H207" i="36"/>
  <c r="H208" i="36" s="1"/>
  <c r="H224" i="36" s="1"/>
  <c r="G207" i="36"/>
  <c r="G208" i="36" s="1"/>
  <c r="G224" i="36" s="1"/>
  <c r="F207" i="36"/>
  <c r="F208" i="36" s="1"/>
  <c r="F224" i="36" s="1"/>
  <c r="E207" i="36"/>
  <c r="E208" i="36" s="1"/>
  <c r="Q206" i="36"/>
  <c r="P206" i="36"/>
  <c r="P215" i="36" s="1"/>
  <c r="O206" i="36"/>
  <c r="N206" i="36"/>
  <c r="M206" i="36"/>
  <c r="L206" i="36"/>
  <c r="K206" i="36"/>
  <c r="K215" i="36" s="1"/>
  <c r="K231" i="36" s="1"/>
  <c r="J206" i="36"/>
  <c r="J215" i="36" s="1"/>
  <c r="I206" i="36"/>
  <c r="H206" i="36"/>
  <c r="H215" i="36" s="1"/>
  <c r="G206" i="36"/>
  <c r="F206" i="36"/>
  <c r="E206" i="36"/>
  <c r="Q205" i="36"/>
  <c r="P205" i="36"/>
  <c r="O205" i="36"/>
  <c r="O213" i="36" s="1"/>
  <c r="N205" i="36"/>
  <c r="M205" i="36"/>
  <c r="L205" i="36"/>
  <c r="K205" i="36"/>
  <c r="J205" i="36"/>
  <c r="I205" i="36"/>
  <c r="H205" i="36"/>
  <c r="G205" i="36"/>
  <c r="F205" i="36"/>
  <c r="E205" i="36"/>
  <c r="Q202" i="36"/>
  <c r="P202" i="36"/>
  <c r="O202" i="36"/>
  <c r="N202" i="36"/>
  <c r="N244" i="36" s="1"/>
  <c r="M202" i="36"/>
  <c r="M213" i="36" s="1"/>
  <c r="L202" i="36"/>
  <c r="L203" i="36" s="1"/>
  <c r="K202" i="36"/>
  <c r="K203" i="36" s="1"/>
  <c r="J202" i="36"/>
  <c r="I202" i="36"/>
  <c r="H202" i="36"/>
  <c r="G202" i="36"/>
  <c r="G213" i="36" s="1"/>
  <c r="F202" i="36"/>
  <c r="E202" i="36"/>
  <c r="E213" i="36" s="1"/>
  <c r="Q195" i="36"/>
  <c r="Q196" i="36" s="1"/>
  <c r="P195" i="36"/>
  <c r="P246" i="36" s="1"/>
  <c r="O195" i="36"/>
  <c r="O246" i="36" s="1"/>
  <c r="N195" i="36"/>
  <c r="N246" i="36" s="1"/>
  <c r="M195" i="36"/>
  <c r="L195" i="36"/>
  <c r="L196" i="36" s="1"/>
  <c r="K195" i="36"/>
  <c r="J195" i="36"/>
  <c r="J196" i="36" s="1"/>
  <c r="I195" i="36"/>
  <c r="I196" i="36" s="1"/>
  <c r="H195" i="36"/>
  <c r="H246" i="36" s="1"/>
  <c r="G195" i="36"/>
  <c r="G246" i="36" s="1"/>
  <c r="F195" i="36"/>
  <c r="F246" i="36" s="1"/>
  <c r="E195" i="36"/>
  <c r="Q192" i="36"/>
  <c r="Q243" i="36" s="1"/>
  <c r="Q244" i="36" s="1"/>
  <c r="P192" i="36"/>
  <c r="P243" i="36" s="1"/>
  <c r="P244" i="36" s="1"/>
  <c r="O192" i="36"/>
  <c r="O243" i="36" s="1"/>
  <c r="O244" i="36" s="1"/>
  <c r="N192" i="36"/>
  <c r="N243" i="36" s="1"/>
  <c r="M192" i="36"/>
  <c r="M243" i="36" s="1"/>
  <c r="L192" i="36"/>
  <c r="L243" i="36" s="1"/>
  <c r="L244" i="36" s="1"/>
  <c r="K192" i="36"/>
  <c r="K243" i="36" s="1"/>
  <c r="K244" i="36" s="1"/>
  <c r="J192" i="36"/>
  <c r="J243" i="36" s="1"/>
  <c r="J244" i="36" s="1"/>
  <c r="I192" i="36"/>
  <c r="I243" i="36" s="1"/>
  <c r="I244" i="36" s="1"/>
  <c r="H192" i="36"/>
  <c r="H243" i="36" s="1"/>
  <c r="H244" i="36" s="1"/>
  <c r="G192" i="36"/>
  <c r="G243" i="36" s="1"/>
  <c r="G244" i="36" s="1"/>
  <c r="F192" i="36"/>
  <c r="F243" i="36" s="1"/>
  <c r="E192" i="36"/>
  <c r="E243" i="36" s="1"/>
  <c r="Q191" i="36"/>
  <c r="Q240" i="36" s="1"/>
  <c r="P191" i="36"/>
  <c r="P240" i="36" s="1"/>
  <c r="O191" i="36"/>
  <c r="O240" i="36" s="1"/>
  <c r="N191" i="36"/>
  <c r="N240" i="36" s="1"/>
  <c r="M191" i="36"/>
  <c r="M240" i="36" s="1"/>
  <c r="L191" i="36"/>
  <c r="L240" i="36" s="1"/>
  <c r="K191" i="36"/>
  <c r="K240" i="36" s="1"/>
  <c r="J191" i="36"/>
  <c r="J240" i="36" s="1"/>
  <c r="I191" i="36"/>
  <c r="I240" i="36" s="1"/>
  <c r="H191" i="36"/>
  <c r="H240" i="36" s="1"/>
  <c r="G191" i="36"/>
  <c r="G240" i="36" s="1"/>
  <c r="F191" i="36"/>
  <c r="F240" i="36" s="1"/>
  <c r="E191" i="36"/>
  <c r="E240" i="36" s="1"/>
  <c r="Q184" i="36"/>
  <c r="Q185" i="36" s="1"/>
  <c r="P184" i="36"/>
  <c r="P185" i="36" s="1"/>
  <c r="O184" i="36"/>
  <c r="O185" i="36" s="1"/>
  <c r="N184" i="36"/>
  <c r="N185" i="36" s="1"/>
  <c r="M184" i="36"/>
  <c r="M185" i="36" s="1"/>
  <c r="L184" i="36"/>
  <c r="L185" i="36" s="1"/>
  <c r="K184" i="36"/>
  <c r="K185" i="36" s="1"/>
  <c r="J184" i="36"/>
  <c r="J185" i="36" s="1"/>
  <c r="I184" i="36"/>
  <c r="I185" i="36" s="1"/>
  <c r="H184" i="36"/>
  <c r="H185" i="36" s="1"/>
  <c r="G184" i="36"/>
  <c r="G185" i="36" s="1"/>
  <c r="F184" i="36"/>
  <c r="F185" i="36" s="1"/>
  <c r="E184" i="36"/>
  <c r="E185" i="36" s="1"/>
  <c r="Q182" i="36"/>
  <c r="P182" i="36"/>
  <c r="O182" i="36"/>
  <c r="N182" i="36"/>
  <c r="M182" i="36"/>
  <c r="L182" i="36"/>
  <c r="K182" i="36"/>
  <c r="J182" i="36"/>
  <c r="I182" i="36"/>
  <c r="H182" i="36"/>
  <c r="G182" i="36"/>
  <c r="F182" i="36"/>
  <c r="E182" i="36"/>
  <c r="Q179" i="36"/>
  <c r="P179" i="36"/>
  <c r="O179" i="36"/>
  <c r="N179" i="36"/>
  <c r="M179" i="36"/>
  <c r="L179" i="36"/>
  <c r="K179" i="36"/>
  <c r="J179" i="36"/>
  <c r="I179" i="36"/>
  <c r="H179" i="36"/>
  <c r="G179" i="36"/>
  <c r="F179" i="36"/>
  <c r="E179" i="36"/>
  <c r="Q176" i="36"/>
  <c r="P176" i="36"/>
  <c r="O176" i="36"/>
  <c r="N176" i="36"/>
  <c r="M176" i="36"/>
  <c r="L176" i="36"/>
  <c r="K176" i="36"/>
  <c r="J176" i="36"/>
  <c r="I176" i="36"/>
  <c r="H176" i="36"/>
  <c r="G176" i="36"/>
  <c r="F176" i="36"/>
  <c r="E176" i="36"/>
  <c r="Q173" i="36"/>
  <c r="P173" i="36"/>
  <c r="O173" i="36"/>
  <c r="N173" i="36"/>
  <c r="M173" i="36"/>
  <c r="L173" i="36"/>
  <c r="K173" i="36"/>
  <c r="J173" i="36"/>
  <c r="I173" i="36"/>
  <c r="H173" i="36"/>
  <c r="G173" i="36"/>
  <c r="F173" i="36"/>
  <c r="E173" i="36"/>
  <c r="Q170" i="36"/>
  <c r="P170" i="36"/>
  <c r="O170" i="36"/>
  <c r="N170" i="36"/>
  <c r="M170" i="36"/>
  <c r="L170" i="36"/>
  <c r="K170" i="36"/>
  <c r="J170" i="36"/>
  <c r="I170" i="36"/>
  <c r="H170" i="36"/>
  <c r="G170" i="36"/>
  <c r="F170" i="36"/>
  <c r="E170" i="36"/>
  <c r="Q161" i="36"/>
  <c r="P161" i="36"/>
  <c r="O161" i="36"/>
  <c r="N161" i="36"/>
  <c r="M161" i="36"/>
  <c r="L161" i="36"/>
  <c r="K161" i="36"/>
  <c r="J161" i="36"/>
  <c r="I161" i="36"/>
  <c r="H161" i="36"/>
  <c r="G161" i="36"/>
  <c r="F161" i="36"/>
  <c r="Q159" i="36"/>
  <c r="P159" i="36"/>
  <c r="O159" i="36"/>
  <c r="N159" i="36"/>
  <c r="M159" i="36"/>
  <c r="L159" i="36"/>
  <c r="K159" i="36"/>
  <c r="J159" i="36"/>
  <c r="I159" i="36"/>
  <c r="H159" i="36"/>
  <c r="G159" i="36"/>
  <c r="F159" i="36"/>
  <c r="Q158" i="36"/>
  <c r="P158" i="36"/>
  <c r="O158" i="36"/>
  <c r="N158" i="36"/>
  <c r="M158" i="36"/>
  <c r="L158" i="36"/>
  <c r="K158" i="36"/>
  <c r="J158" i="36"/>
  <c r="I158" i="36"/>
  <c r="H158" i="36"/>
  <c r="G158" i="36"/>
  <c r="F158" i="36"/>
  <c r="Q157" i="36"/>
  <c r="P157" i="36"/>
  <c r="O157" i="36"/>
  <c r="N157" i="36"/>
  <c r="M157" i="36"/>
  <c r="L157" i="36"/>
  <c r="K157" i="36"/>
  <c r="J157" i="36"/>
  <c r="I157" i="36"/>
  <c r="H157" i="36"/>
  <c r="G157" i="36"/>
  <c r="F157" i="36"/>
  <c r="Q153" i="36"/>
  <c r="P153" i="36"/>
  <c r="O153" i="36"/>
  <c r="N153" i="36"/>
  <c r="M153" i="36"/>
  <c r="L153" i="36"/>
  <c r="K153" i="36"/>
  <c r="J153" i="36"/>
  <c r="I153" i="36"/>
  <c r="H153" i="36"/>
  <c r="G153" i="36"/>
  <c r="F153" i="36"/>
  <c r="E153" i="36"/>
  <c r="Q152" i="36"/>
  <c r="P152" i="36"/>
  <c r="O152" i="36"/>
  <c r="N152" i="36"/>
  <c r="M152" i="36"/>
  <c r="L152" i="36"/>
  <c r="K152" i="36"/>
  <c r="J152" i="36"/>
  <c r="I152" i="36"/>
  <c r="H152" i="36"/>
  <c r="G152" i="36"/>
  <c r="F152" i="36"/>
  <c r="E152" i="36"/>
  <c r="Q151" i="36"/>
  <c r="P151" i="36"/>
  <c r="O151" i="36"/>
  <c r="N151" i="36"/>
  <c r="M151" i="36"/>
  <c r="L151" i="36"/>
  <c r="K151" i="36"/>
  <c r="J151" i="36"/>
  <c r="I151" i="36"/>
  <c r="H151" i="36"/>
  <c r="G151" i="36"/>
  <c r="F151" i="36"/>
  <c r="E151" i="36"/>
  <c r="Q150" i="36"/>
  <c r="P150" i="36"/>
  <c r="P165" i="36" s="1"/>
  <c r="O150" i="36"/>
  <c r="N150" i="36"/>
  <c r="M150" i="36"/>
  <c r="M165" i="36" s="1"/>
  <c r="L150" i="36"/>
  <c r="L165" i="36" s="1"/>
  <c r="K150" i="36"/>
  <c r="J150" i="36"/>
  <c r="J165" i="36" s="1"/>
  <c r="I150" i="36"/>
  <c r="H150" i="36"/>
  <c r="H165" i="36" s="1"/>
  <c r="G150" i="36"/>
  <c r="F150" i="36"/>
  <c r="E150" i="36"/>
  <c r="Q149" i="36"/>
  <c r="Q164" i="36" s="1"/>
  <c r="P149" i="36"/>
  <c r="O149" i="36"/>
  <c r="O164" i="36" s="1"/>
  <c r="N149" i="36"/>
  <c r="M149" i="36"/>
  <c r="M164" i="36" s="1"/>
  <c r="L149" i="36"/>
  <c r="K149" i="36"/>
  <c r="J149" i="36"/>
  <c r="I149" i="36"/>
  <c r="I164" i="36" s="1"/>
  <c r="H149" i="36"/>
  <c r="G149" i="36"/>
  <c r="G164" i="36" s="1"/>
  <c r="F149" i="36"/>
  <c r="E149" i="36"/>
  <c r="Q147" i="36"/>
  <c r="P147" i="36"/>
  <c r="O147" i="36"/>
  <c r="N147" i="36"/>
  <c r="N163" i="36" s="1"/>
  <c r="M147" i="36"/>
  <c r="L147" i="36"/>
  <c r="L163" i="36" s="1"/>
  <c r="K147" i="36"/>
  <c r="J147" i="36"/>
  <c r="J163" i="36" s="1"/>
  <c r="I147" i="36"/>
  <c r="H147" i="36"/>
  <c r="G147" i="36"/>
  <c r="G163" i="36" s="1"/>
  <c r="F147" i="36"/>
  <c r="F163" i="36" s="1"/>
  <c r="E147" i="36"/>
  <c r="Q146" i="36"/>
  <c r="Q162" i="36" s="1"/>
  <c r="P146" i="36"/>
  <c r="O146" i="36"/>
  <c r="O162" i="36" s="1"/>
  <c r="N146" i="36"/>
  <c r="M146" i="36"/>
  <c r="L146" i="36"/>
  <c r="L162" i="36" s="1"/>
  <c r="K146" i="36"/>
  <c r="K162" i="36" s="1"/>
  <c r="J146" i="36"/>
  <c r="I146" i="36"/>
  <c r="I162" i="36" s="1"/>
  <c r="H146" i="36"/>
  <c r="G146" i="36"/>
  <c r="G162" i="36" s="1"/>
  <c r="F146" i="36"/>
  <c r="E146" i="36"/>
  <c r="Q145" i="36"/>
  <c r="P145" i="36"/>
  <c r="O145" i="36"/>
  <c r="N145" i="36"/>
  <c r="M145" i="36"/>
  <c r="L145" i="36"/>
  <c r="K145" i="36"/>
  <c r="J145" i="36"/>
  <c r="I145" i="36"/>
  <c r="H145" i="36"/>
  <c r="G145" i="36"/>
  <c r="F145" i="36"/>
  <c r="E145" i="36"/>
  <c r="O144" i="36"/>
  <c r="G144" i="36"/>
  <c r="G160" i="36" s="1"/>
  <c r="E144" i="36"/>
  <c r="Q140" i="36"/>
  <c r="P140" i="36"/>
  <c r="P156" i="36" s="1"/>
  <c r="O140" i="36"/>
  <c r="N140" i="36"/>
  <c r="N144" i="36" s="1"/>
  <c r="M140" i="36"/>
  <c r="M144" i="36" s="1"/>
  <c r="L140" i="36"/>
  <c r="K140" i="36"/>
  <c r="K156" i="36" s="1"/>
  <c r="J140" i="36"/>
  <c r="J144" i="36" s="1"/>
  <c r="I140" i="36"/>
  <c r="H140" i="36"/>
  <c r="H156" i="36" s="1"/>
  <c r="G140" i="36"/>
  <c r="F140" i="36"/>
  <c r="F144" i="36" s="1"/>
  <c r="F160" i="36" s="1"/>
  <c r="E140" i="36"/>
  <c r="Q135" i="36"/>
  <c r="P135" i="36"/>
  <c r="O135" i="36"/>
  <c r="N135" i="36"/>
  <c r="M135" i="36"/>
  <c r="L135" i="36"/>
  <c r="K135" i="36"/>
  <c r="J135" i="36"/>
  <c r="I135" i="36"/>
  <c r="H135" i="36"/>
  <c r="G135" i="36"/>
  <c r="F135" i="36"/>
  <c r="E135" i="36"/>
  <c r="F130" i="36"/>
  <c r="Q129" i="36"/>
  <c r="Q130" i="36" s="1"/>
  <c r="P129" i="36"/>
  <c r="P130" i="36" s="1"/>
  <c r="O129" i="36"/>
  <c r="O130" i="36" s="1"/>
  <c r="N129" i="36"/>
  <c r="N130" i="36" s="1"/>
  <c r="M129" i="36"/>
  <c r="M130" i="36" s="1"/>
  <c r="L129" i="36"/>
  <c r="L130" i="36" s="1"/>
  <c r="K129" i="36"/>
  <c r="K130" i="36" s="1"/>
  <c r="J129" i="36"/>
  <c r="J130" i="36" s="1"/>
  <c r="I129" i="36"/>
  <c r="I130" i="36" s="1"/>
  <c r="H129" i="36"/>
  <c r="H130" i="36" s="1"/>
  <c r="G129" i="36"/>
  <c r="G130" i="36" s="1"/>
  <c r="F129" i="36"/>
  <c r="E129" i="36"/>
  <c r="E130" i="36" s="1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I110" i="36"/>
  <c r="G110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Q97" i="36"/>
  <c r="P97" i="36"/>
  <c r="O97" i="36"/>
  <c r="N97" i="36"/>
  <c r="M97" i="36"/>
  <c r="L97" i="36"/>
  <c r="K97" i="36"/>
  <c r="J97" i="36"/>
  <c r="I97" i="36"/>
  <c r="H97" i="36"/>
  <c r="G97" i="36"/>
  <c r="F97" i="36"/>
  <c r="E97" i="36"/>
  <c r="Q96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Q95" i="36"/>
  <c r="P95" i="36"/>
  <c r="O95" i="36"/>
  <c r="O110" i="36" s="1"/>
  <c r="N95" i="36"/>
  <c r="M95" i="36"/>
  <c r="M110" i="36" s="1"/>
  <c r="L95" i="36"/>
  <c r="K95" i="36"/>
  <c r="J95" i="36"/>
  <c r="J110" i="36" s="1"/>
  <c r="I95" i="36"/>
  <c r="H95" i="36"/>
  <c r="G95" i="36"/>
  <c r="F95" i="36"/>
  <c r="E95" i="36"/>
  <c r="Q94" i="36"/>
  <c r="P94" i="36"/>
  <c r="O94" i="36"/>
  <c r="O109" i="36" s="1"/>
  <c r="N94" i="36"/>
  <c r="M94" i="36"/>
  <c r="L94" i="36"/>
  <c r="L109" i="36" s="1"/>
  <c r="K94" i="36"/>
  <c r="J94" i="36"/>
  <c r="J109" i="36" s="1"/>
  <c r="I94" i="36"/>
  <c r="H94" i="36"/>
  <c r="G94" i="36"/>
  <c r="G109" i="36" s="1"/>
  <c r="F94" i="36"/>
  <c r="E94" i="36"/>
  <c r="Q92" i="36"/>
  <c r="Q108" i="36" s="1"/>
  <c r="P92" i="36"/>
  <c r="O92" i="36"/>
  <c r="O108" i="36" s="1"/>
  <c r="N92" i="36"/>
  <c r="M92" i="36"/>
  <c r="L92" i="36"/>
  <c r="L108" i="36" s="1"/>
  <c r="K92" i="36"/>
  <c r="J92" i="36"/>
  <c r="I92" i="36"/>
  <c r="I108" i="36" s="1"/>
  <c r="H92" i="36"/>
  <c r="G92" i="36"/>
  <c r="G108" i="36" s="1"/>
  <c r="F92" i="36"/>
  <c r="E92" i="36"/>
  <c r="Q91" i="36"/>
  <c r="Q107" i="36" s="1"/>
  <c r="P91" i="36"/>
  <c r="P107" i="36" s="1"/>
  <c r="O91" i="36"/>
  <c r="N91" i="36"/>
  <c r="M91" i="36"/>
  <c r="L91" i="36"/>
  <c r="L107" i="36" s="1"/>
  <c r="K91" i="36"/>
  <c r="J91" i="36"/>
  <c r="I91" i="36"/>
  <c r="I107" i="36" s="1"/>
  <c r="H91" i="36"/>
  <c r="G91" i="36"/>
  <c r="F91" i="36"/>
  <c r="E91" i="36"/>
  <c r="Q90" i="36"/>
  <c r="Q106" i="36" s="1"/>
  <c r="P90" i="36"/>
  <c r="O90" i="36"/>
  <c r="N90" i="36"/>
  <c r="N106" i="36" s="1"/>
  <c r="M90" i="36"/>
  <c r="L90" i="36"/>
  <c r="K90" i="36"/>
  <c r="K106" i="36" s="1"/>
  <c r="J90" i="36"/>
  <c r="I90" i="36"/>
  <c r="I106" i="36" s="1"/>
  <c r="H90" i="36"/>
  <c r="G90" i="36"/>
  <c r="F90" i="36"/>
  <c r="F106" i="36" s="1"/>
  <c r="E90" i="36"/>
  <c r="Q85" i="36"/>
  <c r="P85" i="36"/>
  <c r="O85" i="36"/>
  <c r="O89" i="36" s="1"/>
  <c r="O105" i="36" s="1"/>
  <c r="N85" i="36"/>
  <c r="N89" i="36" s="1"/>
  <c r="M85" i="36"/>
  <c r="L85" i="36"/>
  <c r="L89" i="36" s="1"/>
  <c r="K85" i="36"/>
  <c r="J85" i="36"/>
  <c r="J89" i="36" s="1"/>
  <c r="I85" i="36"/>
  <c r="H85" i="36"/>
  <c r="G85" i="36"/>
  <c r="G89" i="36" s="1"/>
  <c r="G105" i="36" s="1"/>
  <c r="F85" i="36"/>
  <c r="F89" i="36" s="1"/>
  <c r="E85" i="36"/>
  <c r="Q415" i="36"/>
  <c r="Q418" i="36" s="1"/>
  <c r="Q419" i="36" s="1"/>
  <c r="P415" i="36"/>
  <c r="O415" i="36"/>
  <c r="N415" i="36"/>
  <c r="M415" i="36"/>
  <c r="L415" i="36"/>
  <c r="K415" i="36"/>
  <c r="J415" i="36"/>
  <c r="J418" i="36" s="1"/>
  <c r="J419" i="36" s="1"/>
  <c r="I415" i="36"/>
  <c r="I418" i="36" s="1"/>
  <c r="I419" i="36" s="1"/>
  <c r="H415" i="36"/>
  <c r="G415" i="36"/>
  <c r="F415" i="36"/>
  <c r="E415" i="36"/>
  <c r="Q392" i="36"/>
  <c r="P392" i="36"/>
  <c r="O392" i="36"/>
  <c r="N392" i="36"/>
  <c r="M392" i="36"/>
  <c r="L392" i="36"/>
  <c r="K392" i="36"/>
  <c r="J392" i="36"/>
  <c r="I392" i="36"/>
  <c r="H392" i="36"/>
  <c r="G392" i="36"/>
  <c r="F392" i="36"/>
  <c r="E392" i="36"/>
  <c r="Q381" i="36"/>
  <c r="Q421" i="36" s="1"/>
  <c r="P381" i="36"/>
  <c r="P421" i="36" s="1"/>
  <c r="O381" i="36"/>
  <c r="O421" i="36" s="1"/>
  <c r="N381" i="36"/>
  <c r="N421" i="36" s="1"/>
  <c r="M381" i="36"/>
  <c r="M421" i="36" s="1"/>
  <c r="L381" i="36"/>
  <c r="L421" i="36" s="1"/>
  <c r="K381" i="36"/>
  <c r="K421" i="36" s="1"/>
  <c r="J381" i="36"/>
  <c r="J421" i="36" s="1"/>
  <c r="I381" i="36"/>
  <c r="I421" i="36" s="1"/>
  <c r="H381" i="36"/>
  <c r="H421" i="36" s="1"/>
  <c r="G381" i="36"/>
  <c r="G421" i="36" s="1"/>
  <c r="F381" i="36"/>
  <c r="F421" i="36" s="1"/>
  <c r="E381" i="36"/>
  <c r="E421" i="36" s="1"/>
  <c r="F67" i="36"/>
  <c r="Q66" i="36"/>
  <c r="Q67" i="36" s="1"/>
  <c r="P66" i="36"/>
  <c r="P67" i="36" s="1"/>
  <c r="O66" i="36"/>
  <c r="O67" i="36" s="1"/>
  <c r="N66" i="36"/>
  <c r="M66" i="36"/>
  <c r="M67" i="36" s="1"/>
  <c r="L66" i="36"/>
  <c r="L67" i="36" s="1"/>
  <c r="K66" i="36"/>
  <c r="K67" i="36" s="1"/>
  <c r="J66" i="36"/>
  <c r="J67" i="36" s="1"/>
  <c r="I66" i="36"/>
  <c r="I67" i="36" s="1"/>
  <c r="H66" i="36"/>
  <c r="H67" i="36" s="1"/>
  <c r="G66" i="36"/>
  <c r="G67" i="36" s="1"/>
  <c r="F66" i="36"/>
  <c r="E66" i="36"/>
  <c r="E67" i="36" s="1"/>
  <c r="Q54" i="36"/>
  <c r="Q56" i="36" s="1"/>
  <c r="P54" i="36"/>
  <c r="P57" i="36" s="1"/>
  <c r="O54" i="36"/>
  <c r="O59" i="36" s="1"/>
  <c r="L54" i="36"/>
  <c r="L57" i="36" s="1"/>
  <c r="K54" i="36"/>
  <c r="K59" i="36" s="1"/>
  <c r="J54" i="36"/>
  <c r="J55" i="36" s="1"/>
  <c r="I54" i="36"/>
  <c r="I56" i="36" s="1"/>
  <c r="H54" i="36"/>
  <c r="H57" i="36" s="1"/>
  <c r="G54" i="36"/>
  <c r="G59" i="36" s="1"/>
  <c r="Q47" i="36"/>
  <c r="P47" i="36"/>
  <c r="O47" i="36"/>
  <c r="N47" i="36"/>
  <c r="M47" i="36"/>
  <c r="L47" i="36"/>
  <c r="L49" i="36" s="1"/>
  <c r="K47" i="36"/>
  <c r="J47" i="36"/>
  <c r="I47" i="36"/>
  <c r="H47" i="36"/>
  <c r="G47" i="36"/>
  <c r="F47" i="36"/>
  <c r="E47" i="36"/>
  <c r="Q37" i="36"/>
  <c r="P37" i="36"/>
  <c r="P49" i="36" s="1"/>
  <c r="O37" i="36"/>
  <c r="N37" i="36"/>
  <c r="M37" i="36"/>
  <c r="L37" i="36"/>
  <c r="K37" i="36"/>
  <c r="J37" i="36"/>
  <c r="J49" i="36" s="1"/>
  <c r="I37" i="36"/>
  <c r="H37" i="36"/>
  <c r="G37" i="36"/>
  <c r="F37" i="36"/>
  <c r="E3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Q12" i="36"/>
  <c r="P12" i="36"/>
  <c r="O12" i="36"/>
  <c r="N12" i="36"/>
  <c r="M12" i="36"/>
  <c r="M23" i="36" s="1"/>
  <c r="L12" i="36"/>
  <c r="L23" i="36" s="1"/>
  <c r="K12" i="36"/>
  <c r="J12" i="36"/>
  <c r="J23" i="36" s="1"/>
  <c r="I12" i="36"/>
  <c r="H12" i="36"/>
  <c r="G12" i="36"/>
  <c r="F12" i="36"/>
  <c r="E12" i="36"/>
  <c r="E23" i="36" s="1"/>
  <c r="Q5" i="36"/>
  <c r="Q77" i="36" s="1"/>
  <c r="Q353" i="36" s="1"/>
  <c r="F54" i="36"/>
  <c r="E101" i="16"/>
  <c r="BH346" i="36"/>
  <c r="BH413" i="36"/>
  <c r="BH412" i="36"/>
  <c r="BH411" i="36"/>
  <c r="BH410" i="36"/>
  <c r="BH409" i="36"/>
  <c r="BH408" i="36"/>
  <c r="BH407" i="36"/>
  <c r="BH406" i="36"/>
  <c r="BH405" i="36"/>
  <c r="BH404" i="36"/>
  <c r="BH403" i="36"/>
  <c r="BH402" i="36"/>
  <c r="BH401" i="36"/>
  <c r="BH400" i="36"/>
  <c r="BH399" i="36"/>
  <c r="BH397" i="36"/>
  <c r="BH396" i="36"/>
  <c r="BC404" i="36"/>
  <c r="BC403" i="36"/>
  <c r="BC402" i="36"/>
  <c r="BC401" i="36"/>
  <c r="BC400" i="36"/>
  <c r="BC399" i="36"/>
  <c r="BC397" i="36"/>
  <c r="BC396" i="36"/>
  <c r="Q224" i="36" l="1"/>
  <c r="N228" i="36"/>
  <c r="I224" i="36"/>
  <c r="H231" i="36"/>
  <c r="F228" i="36"/>
  <c r="M108" i="36"/>
  <c r="P163" i="36"/>
  <c r="E196" i="36"/>
  <c r="E238" i="36"/>
  <c r="K418" i="36"/>
  <c r="K419" i="36" s="1"/>
  <c r="I101" i="36"/>
  <c r="Q101" i="36"/>
  <c r="H106" i="36"/>
  <c r="P106" i="36"/>
  <c r="K107" i="36"/>
  <c r="F108" i="36"/>
  <c r="N108" i="36"/>
  <c r="I109" i="36"/>
  <c r="Q109" i="36"/>
  <c r="L110" i="36"/>
  <c r="F247" i="36"/>
  <c r="N247" i="36"/>
  <c r="L215" i="36"/>
  <c r="L231" i="36" s="1"/>
  <c r="H212" i="36"/>
  <c r="H228" i="36" s="1"/>
  <c r="P212" i="36"/>
  <c r="P228" i="36" s="1"/>
  <c r="F217" i="36"/>
  <c r="F232" i="36" s="1"/>
  <c r="N217" i="36"/>
  <c r="H217" i="36"/>
  <c r="F238" i="36"/>
  <c r="N238" i="36"/>
  <c r="I246" i="36"/>
  <c r="I252" i="36" s="1"/>
  <c r="K250" i="36"/>
  <c r="G225" i="36"/>
  <c r="J107" i="36"/>
  <c r="K164" i="36"/>
  <c r="M196" i="36"/>
  <c r="I55" i="36"/>
  <c r="L418" i="36"/>
  <c r="L419" i="36" s="1"/>
  <c r="J105" i="36"/>
  <c r="N160" i="36"/>
  <c r="H214" i="36"/>
  <c r="P214" i="36"/>
  <c r="I212" i="36"/>
  <c r="Q212" i="36"/>
  <c r="P217" i="36"/>
  <c r="Q246" i="36"/>
  <c r="Q252" i="36" s="1"/>
  <c r="L250" i="36"/>
  <c r="F276" i="36"/>
  <c r="N276" i="36"/>
  <c r="J226" i="36"/>
  <c r="K110" i="36"/>
  <c r="K144" i="36"/>
  <c r="K160" i="36" s="1"/>
  <c r="N165" i="36"/>
  <c r="H49" i="36"/>
  <c r="E418" i="36"/>
  <c r="E419" i="36" s="1"/>
  <c r="M418" i="36"/>
  <c r="M419" i="36" s="1"/>
  <c r="K101" i="36"/>
  <c r="I89" i="36"/>
  <c r="J106" i="36"/>
  <c r="M107" i="36"/>
  <c r="H108" i="36"/>
  <c r="P108" i="36"/>
  <c r="K109" i="36"/>
  <c r="F110" i="36"/>
  <c r="N110" i="36"/>
  <c r="G156" i="36"/>
  <c r="O156" i="36"/>
  <c r="H162" i="36"/>
  <c r="P162" i="36"/>
  <c r="K163" i="36"/>
  <c r="F164" i="36"/>
  <c r="N164" i="36"/>
  <c r="I165" i="36"/>
  <c r="Q165" i="36"/>
  <c r="J156" i="36"/>
  <c r="E244" i="36"/>
  <c r="M244" i="36"/>
  <c r="H220" i="36"/>
  <c r="P220" i="36"/>
  <c r="P235" i="36" s="1"/>
  <c r="F219" i="36"/>
  <c r="H238" i="36"/>
  <c r="P238" i="36"/>
  <c r="E250" i="36"/>
  <c r="M250" i="36"/>
  <c r="M162" i="36"/>
  <c r="F213" i="36"/>
  <c r="F229" i="36" s="1"/>
  <c r="F418" i="36"/>
  <c r="F419" i="36" s="1"/>
  <c r="N418" i="36"/>
  <c r="N419" i="36" s="1"/>
  <c r="J203" i="36"/>
  <c r="K212" i="36"/>
  <c r="I217" i="36"/>
  <c r="I232" i="36" s="1"/>
  <c r="Q217" i="36"/>
  <c r="N219" i="36"/>
  <c r="I238" i="36"/>
  <c r="Q238" i="36"/>
  <c r="F250" i="36"/>
  <c r="N250" i="36"/>
  <c r="O225" i="36"/>
  <c r="O106" i="36"/>
  <c r="H109" i="36"/>
  <c r="F165" i="36"/>
  <c r="M238" i="36"/>
  <c r="M54" i="36"/>
  <c r="M56" i="36" s="1"/>
  <c r="G418" i="36"/>
  <c r="G419" i="36" s="1"/>
  <c r="O418" i="36"/>
  <c r="O419" i="36" s="1"/>
  <c r="M101" i="36"/>
  <c r="Q89" i="36"/>
  <c r="L106" i="36"/>
  <c r="G107" i="36"/>
  <c r="O107" i="36"/>
  <c r="J108" i="36"/>
  <c r="M109" i="36"/>
  <c r="H110" i="36"/>
  <c r="P110" i="36"/>
  <c r="I156" i="36"/>
  <c r="Q156" i="36"/>
  <c r="J162" i="36"/>
  <c r="M163" i="36"/>
  <c r="H164" i="36"/>
  <c r="P164" i="36"/>
  <c r="K165" i="36"/>
  <c r="F196" i="36"/>
  <c r="J217" i="36"/>
  <c r="J232" i="36" s="1"/>
  <c r="I220" i="36"/>
  <c r="M227" i="36"/>
  <c r="G106" i="36"/>
  <c r="P109" i="36"/>
  <c r="H163" i="36"/>
  <c r="N213" i="36"/>
  <c r="N229" i="36" s="1"/>
  <c r="K49" i="36"/>
  <c r="E54" i="36"/>
  <c r="E56" i="36" s="1"/>
  <c r="N54" i="36"/>
  <c r="N59" i="36" s="1"/>
  <c r="H418" i="36"/>
  <c r="H419" i="36" s="1"/>
  <c r="P418" i="36"/>
  <c r="P419" i="36" s="1"/>
  <c r="N196" i="36"/>
  <c r="I215" i="36"/>
  <c r="I231" i="36" s="1"/>
  <c r="Q215" i="36"/>
  <c r="Q231" i="36" s="1"/>
  <c r="L208" i="36"/>
  <c r="M224" i="36" s="1"/>
  <c r="E212" i="36"/>
  <c r="M212" i="36"/>
  <c r="K217" i="36"/>
  <c r="K232" i="36" s="1"/>
  <c r="J214" i="36"/>
  <c r="Q220" i="36"/>
  <c r="Q235" i="36" s="1"/>
  <c r="K238" i="36"/>
  <c r="H250" i="36"/>
  <c r="P250" i="36"/>
  <c r="F225" i="36"/>
  <c r="N225" i="36"/>
  <c r="L227" i="36"/>
  <c r="E241" i="36"/>
  <c r="E218" i="36"/>
  <c r="E221" i="36"/>
  <c r="M241" i="36"/>
  <c r="M218" i="36"/>
  <c r="M221" i="36"/>
  <c r="F241" i="36"/>
  <c r="F218" i="36"/>
  <c r="F221" i="36"/>
  <c r="L105" i="36"/>
  <c r="K89" i="36"/>
  <c r="K105" i="36" s="1"/>
  <c r="K108" i="36"/>
  <c r="Q110" i="36"/>
  <c r="M156" i="36"/>
  <c r="F162" i="36"/>
  <c r="N162" i="36"/>
  <c r="I163" i="36"/>
  <c r="Q163" i="36"/>
  <c r="L164" i="36"/>
  <c r="G165" i="36"/>
  <c r="O165" i="36"/>
  <c r="G241" i="36"/>
  <c r="G218" i="36"/>
  <c r="G221" i="36"/>
  <c r="O241" i="36"/>
  <c r="O218" i="36"/>
  <c r="O233" i="36" s="1"/>
  <c r="O221" i="36"/>
  <c r="G212" i="36"/>
  <c r="G228" i="36" s="1"/>
  <c r="O212" i="36"/>
  <c r="O228" i="36" s="1"/>
  <c r="E217" i="36"/>
  <c r="M217" i="36"/>
  <c r="M232" i="36" s="1"/>
  <c r="I219" i="36"/>
  <c r="I234" i="36" s="1"/>
  <c r="O160" i="36"/>
  <c r="H218" i="36"/>
  <c r="H233" i="36" s="1"/>
  <c r="H221" i="36"/>
  <c r="P218" i="36"/>
  <c r="P221" i="36"/>
  <c r="G214" i="36"/>
  <c r="G230" i="36" s="1"/>
  <c r="O214" i="36"/>
  <c r="O230" i="36" s="1"/>
  <c r="Q247" i="36"/>
  <c r="Q219" i="36"/>
  <c r="Q234" i="36" s="1"/>
  <c r="N241" i="36"/>
  <c r="N218" i="36"/>
  <c r="N221" i="36"/>
  <c r="M106" i="36"/>
  <c r="I218" i="36"/>
  <c r="I221" i="36"/>
  <c r="I241" i="36"/>
  <c r="Q218" i="36"/>
  <c r="Q233" i="36" s="1"/>
  <c r="Q221" i="36"/>
  <c r="Q241" i="36"/>
  <c r="G247" i="36"/>
  <c r="G219" i="36"/>
  <c r="O247" i="36"/>
  <c r="O219" i="36"/>
  <c r="O234" i="36" s="1"/>
  <c r="K196" i="36"/>
  <c r="K246" i="36"/>
  <c r="K252" i="36" s="1"/>
  <c r="I57" i="36"/>
  <c r="G101" i="36"/>
  <c r="O101" i="36"/>
  <c r="F101" i="36"/>
  <c r="F107" i="36"/>
  <c r="O163" i="36"/>
  <c r="J218" i="36"/>
  <c r="J233" i="36" s="1"/>
  <c r="J221" i="36"/>
  <c r="J241" i="36"/>
  <c r="H247" i="36"/>
  <c r="H219" i="36"/>
  <c r="P247" i="36"/>
  <c r="P219" i="36"/>
  <c r="I214" i="36"/>
  <c r="I230" i="36" s="1"/>
  <c r="I203" i="36"/>
  <c r="I213" i="36"/>
  <c r="I229" i="36" s="1"/>
  <c r="Q214" i="36"/>
  <c r="Q203" i="36"/>
  <c r="Q213" i="36"/>
  <c r="Q229" i="36" s="1"/>
  <c r="F215" i="36"/>
  <c r="F231" i="36" s="1"/>
  <c r="N215" i="36"/>
  <c r="N231" i="36" s="1"/>
  <c r="J212" i="36"/>
  <c r="J228" i="36" s="1"/>
  <c r="H241" i="36"/>
  <c r="L144" i="36"/>
  <c r="L160" i="36" s="1"/>
  <c r="L156" i="36"/>
  <c r="P56" i="36"/>
  <c r="F109" i="36"/>
  <c r="N58" i="36"/>
  <c r="H89" i="36"/>
  <c r="H105" i="36" s="1"/>
  <c r="H101" i="36"/>
  <c r="P89" i="36"/>
  <c r="P105" i="36" s="1"/>
  <c r="P101" i="36"/>
  <c r="L101" i="36"/>
  <c r="H107" i="36"/>
  <c r="N109" i="36"/>
  <c r="J164" i="36"/>
  <c r="K221" i="36"/>
  <c r="K241" i="36"/>
  <c r="P241" i="36"/>
  <c r="G276" i="36"/>
  <c r="O276" i="36"/>
  <c r="Q58" i="36"/>
  <c r="N101" i="36"/>
  <c r="N107" i="36"/>
  <c r="L241" i="36"/>
  <c r="L218" i="36"/>
  <c r="L233" i="36" s="1"/>
  <c r="K218" i="36"/>
  <c r="G217" i="36"/>
  <c r="G238" i="36"/>
  <c r="G215" i="36"/>
  <c r="O217" i="36"/>
  <c r="O232" i="36" s="1"/>
  <c r="O238" i="36"/>
  <c r="O215" i="36"/>
  <c r="O231" i="36" s="1"/>
  <c r="G220" i="36"/>
  <c r="G235" i="36" s="1"/>
  <c r="G250" i="36"/>
  <c r="O220" i="36"/>
  <c r="O250" i="36"/>
  <c r="H144" i="36"/>
  <c r="H160" i="36" s="1"/>
  <c r="P144" i="36"/>
  <c r="P160" i="36" s="1"/>
  <c r="G196" i="36"/>
  <c r="O196" i="36"/>
  <c r="E203" i="36"/>
  <c r="M203" i="36"/>
  <c r="H213" i="36"/>
  <c r="H229" i="36" s="1"/>
  <c r="P213" i="36"/>
  <c r="P229" i="36" s="1"/>
  <c r="K214" i="36"/>
  <c r="J220" i="36"/>
  <c r="J235" i="36" s="1"/>
  <c r="J246" i="36"/>
  <c r="F252" i="36"/>
  <c r="N252" i="36"/>
  <c r="E89" i="36"/>
  <c r="M89" i="36"/>
  <c r="M105" i="36" s="1"/>
  <c r="I144" i="36"/>
  <c r="Q144" i="36"/>
  <c r="H196" i="36"/>
  <c r="P196" i="36"/>
  <c r="F203" i="36"/>
  <c r="N203" i="36"/>
  <c r="L214" i="36"/>
  <c r="L230" i="36" s="1"/>
  <c r="K220" i="36"/>
  <c r="G252" i="36"/>
  <c r="O252" i="36"/>
  <c r="G203" i="36"/>
  <c r="O203" i="36"/>
  <c r="J213" i="36"/>
  <c r="J229" i="36" s="1"/>
  <c r="E214" i="36"/>
  <c r="M214" i="36"/>
  <c r="M230" i="36" s="1"/>
  <c r="L220" i="36"/>
  <c r="L235" i="36" s="1"/>
  <c r="L246" i="36"/>
  <c r="H252" i="36"/>
  <c r="P252" i="36"/>
  <c r="J101" i="36"/>
  <c r="F156" i="36"/>
  <c r="N156" i="36"/>
  <c r="H203" i="36"/>
  <c r="P203" i="36"/>
  <c r="K213" i="36"/>
  <c r="F214" i="36"/>
  <c r="N214" i="36"/>
  <c r="E220" i="36"/>
  <c r="M220" i="36"/>
  <c r="M235" i="36" s="1"/>
  <c r="E246" i="36"/>
  <c r="E252" i="36" s="1"/>
  <c r="M246" i="36"/>
  <c r="M252" i="36" s="1"/>
  <c r="L213" i="36"/>
  <c r="L229" i="36" s="1"/>
  <c r="F220" i="36"/>
  <c r="N220" i="36"/>
  <c r="F56" i="36"/>
  <c r="F58" i="36"/>
  <c r="G23" i="36"/>
  <c r="E49" i="36"/>
  <c r="E51" i="36" s="1"/>
  <c r="M49" i="36"/>
  <c r="K57" i="36"/>
  <c r="I59" i="36"/>
  <c r="H23" i="36"/>
  <c r="H51" i="36" s="1"/>
  <c r="P23" i="36"/>
  <c r="P51" i="36" s="1"/>
  <c r="K23" i="36"/>
  <c r="K51" i="36" s="1"/>
  <c r="F49" i="36"/>
  <c r="N49" i="36"/>
  <c r="Q55" i="36"/>
  <c r="Q57" i="36"/>
  <c r="L59" i="36"/>
  <c r="I23" i="36"/>
  <c r="Q23" i="36"/>
  <c r="O23" i="36"/>
  <c r="G49" i="36"/>
  <c r="O49" i="36"/>
  <c r="H56" i="36"/>
  <c r="Q59" i="36"/>
  <c r="N67" i="36"/>
  <c r="K56" i="36"/>
  <c r="I58" i="36"/>
  <c r="K55" i="36"/>
  <c r="F23" i="36"/>
  <c r="N23" i="36"/>
  <c r="N51" i="36" s="1"/>
  <c r="I49" i="36"/>
  <c r="Q49" i="36"/>
  <c r="L56" i="36"/>
  <c r="K58" i="36"/>
  <c r="E55" i="36"/>
  <c r="N56" i="36"/>
  <c r="L58" i="36"/>
  <c r="L51" i="36"/>
  <c r="J51" i="36"/>
  <c r="M51" i="36"/>
  <c r="L55" i="36"/>
  <c r="G56" i="36"/>
  <c r="O56" i="36"/>
  <c r="J57" i="36"/>
  <c r="E58" i="36"/>
  <c r="H59" i="36"/>
  <c r="P59" i="36"/>
  <c r="F55" i="36"/>
  <c r="N55" i="36"/>
  <c r="G58" i="36"/>
  <c r="O58" i="36"/>
  <c r="J59" i="36"/>
  <c r="G55" i="36"/>
  <c r="O55" i="36"/>
  <c r="J56" i="36"/>
  <c r="E57" i="36"/>
  <c r="M57" i="36"/>
  <c r="H58" i="36"/>
  <c r="P58" i="36"/>
  <c r="H55" i="36"/>
  <c r="P55" i="36"/>
  <c r="F57" i="36"/>
  <c r="N57" i="36"/>
  <c r="G57" i="36"/>
  <c r="O57" i="36"/>
  <c r="J58" i="36"/>
  <c r="E59" i="36"/>
  <c r="F59" i="36"/>
  <c r="P5" i="36"/>
  <c r="BH343" i="36"/>
  <c r="BH342" i="36"/>
  <c r="BH341" i="36"/>
  <c r="BH340" i="36"/>
  <c r="BH339" i="36"/>
  <c r="BH338" i="36"/>
  <c r="BH337" i="36"/>
  <c r="BH336" i="36"/>
  <c r="BH335" i="36"/>
  <c r="BH334" i="36"/>
  <c r="BC343" i="36"/>
  <c r="BC342" i="36"/>
  <c r="BC341" i="36"/>
  <c r="BC340" i="36"/>
  <c r="BC339" i="36"/>
  <c r="BC338" i="36"/>
  <c r="BC337" i="36"/>
  <c r="BC336" i="36"/>
  <c r="BC335" i="36"/>
  <c r="I103" i="16"/>
  <c r="Q51" i="36" l="1"/>
  <c r="N230" i="36"/>
  <c r="I233" i="36"/>
  <c r="I247" i="36"/>
  <c r="F233" i="36"/>
  <c r="J230" i="36"/>
  <c r="H235" i="36"/>
  <c r="G229" i="36"/>
  <c r="M58" i="36"/>
  <c r="M55" i="36"/>
  <c r="N235" i="36"/>
  <c r="F230" i="36"/>
  <c r="Q160" i="36"/>
  <c r="K230" i="36"/>
  <c r="G231" i="36"/>
  <c r="G234" i="36"/>
  <c r="G233" i="36"/>
  <c r="P232" i="36"/>
  <c r="L232" i="36"/>
  <c r="I105" i="36"/>
  <c r="P234" i="36"/>
  <c r="M59" i="36"/>
  <c r="O51" i="36"/>
  <c r="F235" i="36"/>
  <c r="K229" i="36"/>
  <c r="H234" i="36"/>
  <c r="P233" i="36"/>
  <c r="M228" i="36"/>
  <c r="I235" i="36"/>
  <c r="Q232" i="36"/>
  <c r="Q228" i="36"/>
  <c r="H232" i="36"/>
  <c r="M231" i="36"/>
  <c r="J231" i="36"/>
  <c r="F51" i="36"/>
  <c r="K235" i="36"/>
  <c r="O235" i="36"/>
  <c r="G232" i="36"/>
  <c r="Q230" i="36"/>
  <c r="N233" i="36"/>
  <c r="I228" i="36"/>
  <c r="N232" i="36"/>
  <c r="M229" i="36"/>
  <c r="O229" i="36"/>
  <c r="K233" i="36"/>
  <c r="M233" i="36"/>
  <c r="L212" i="36"/>
  <c r="L228" i="36" s="1"/>
  <c r="L224" i="36"/>
  <c r="K228" i="36"/>
  <c r="P230" i="36"/>
  <c r="H230" i="36"/>
  <c r="P231" i="36"/>
  <c r="E282" i="36"/>
  <c r="E253" i="36"/>
  <c r="E259" i="36"/>
  <c r="G253" i="36"/>
  <c r="G259" i="36"/>
  <c r="G282" i="36"/>
  <c r="Q259" i="36"/>
  <c r="Q282" i="36"/>
  <c r="Q253" i="36"/>
  <c r="I160" i="36"/>
  <c r="N253" i="36"/>
  <c r="N259" i="36"/>
  <c r="N282" i="36"/>
  <c r="F105" i="36"/>
  <c r="L219" i="36"/>
  <c r="L234" i="36" s="1"/>
  <c r="L247" i="36"/>
  <c r="F253" i="36"/>
  <c r="F259" i="36"/>
  <c r="F282" i="36"/>
  <c r="L252" i="36"/>
  <c r="H259" i="36"/>
  <c r="H282" i="36"/>
  <c r="H253" i="36"/>
  <c r="M282" i="36"/>
  <c r="M253" i="36"/>
  <c r="M259" i="36"/>
  <c r="M219" i="36"/>
  <c r="N234" i="36" s="1"/>
  <c r="M247" i="36"/>
  <c r="E219" i="36"/>
  <c r="F234" i="36" s="1"/>
  <c r="E247" i="36"/>
  <c r="K282" i="36"/>
  <c r="K253" i="36"/>
  <c r="K259" i="36"/>
  <c r="J247" i="36"/>
  <c r="J219" i="36"/>
  <c r="J234" i="36" s="1"/>
  <c r="J160" i="36"/>
  <c r="I259" i="36"/>
  <c r="I282" i="36"/>
  <c r="I253" i="36"/>
  <c r="M160" i="36"/>
  <c r="O253" i="36"/>
  <c r="O259" i="36"/>
  <c r="O282" i="36"/>
  <c r="Q105" i="36"/>
  <c r="J252" i="36"/>
  <c r="P259" i="36"/>
  <c r="P282" i="36"/>
  <c r="P253" i="36"/>
  <c r="N105" i="36"/>
  <c r="K247" i="36"/>
  <c r="K219" i="36"/>
  <c r="K234" i="36" s="1"/>
  <c r="I51" i="36"/>
  <c r="G51" i="36"/>
  <c r="P77" i="36"/>
  <c r="P353" i="36" s="1"/>
  <c r="O5" i="36"/>
  <c r="AZ334" i="36"/>
  <c r="BC334" i="36" s="1"/>
  <c r="BL207" i="36"/>
  <c r="BK207" i="36"/>
  <c r="BJ207" i="36"/>
  <c r="BL206" i="36"/>
  <c r="BK206" i="36"/>
  <c r="BJ206" i="36"/>
  <c r="BL205" i="36"/>
  <c r="BK205" i="36"/>
  <c r="BJ205" i="36"/>
  <c r="BI207" i="36"/>
  <c r="BI206" i="36"/>
  <c r="BI205" i="36"/>
  <c r="BG207" i="36"/>
  <c r="BF207" i="36"/>
  <c r="BE207" i="36"/>
  <c r="BD207" i="36"/>
  <c r="BG206" i="36"/>
  <c r="BF206" i="36"/>
  <c r="BE206" i="36"/>
  <c r="BD206" i="36"/>
  <c r="BG205" i="36"/>
  <c r="BF205" i="36"/>
  <c r="BE205" i="36"/>
  <c r="BD205" i="36"/>
  <c r="BB207" i="36"/>
  <c r="BA207" i="36"/>
  <c r="AZ207" i="36"/>
  <c r="AY207" i="36"/>
  <c r="BB206" i="36"/>
  <c r="BA206" i="36"/>
  <c r="AZ206" i="36"/>
  <c r="AY206" i="36"/>
  <c r="BB205" i="36"/>
  <c r="BA205" i="36"/>
  <c r="AZ205" i="36"/>
  <c r="AY205" i="36"/>
  <c r="AW98" i="36"/>
  <c r="AV98" i="36"/>
  <c r="AU98" i="36"/>
  <c r="AT98" i="36"/>
  <c r="AR98" i="36"/>
  <c r="AQ98" i="36"/>
  <c r="AP98" i="36"/>
  <c r="AO98" i="36"/>
  <c r="AM98" i="36"/>
  <c r="AL98" i="36"/>
  <c r="AK98" i="36"/>
  <c r="AJ98" i="36"/>
  <c r="AH98" i="36"/>
  <c r="AG98" i="36"/>
  <c r="AF98" i="36"/>
  <c r="AE98" i="36"/>
  <c r="AC98" i="36"/>
  <c r="AB98" i="36"/>
  <c r="AA98" i="36"/>
  <c r="Z98" i="36"/>
  <c r="X98" i="36"/>
  <c r="W98" i="36"/>
  <c r="V98" i="36"/>
  <c r="U98" i="36"/>
  <c r="T98" i="36"/>
  <c r="S98" i="36"/>
  <c r="R98" i="36"/>
  <c r="AW153" i="36"/>
  <c r="AV153" i="36"/>
  <c r="AU153" i="36"/>
  <c r="AT153" i="36"/>
  <c r="AR153" i="36"/>
  <c r="AQ153" i="36"/>
  <c r="AP153" i="36"/>
  <c r="AO153" i="36"/>
  <c r="AM153" i="36"/>
  <c r="AL153" i="36"/>
  <c r="AK153" i="36"/>
  <c r="AJ153" i="36"/>
  <c r="AH153" i="36"/>
  <c r="AG153" i="36"/>
  <c r="AF153" i="36"/>
  <c r="AE153" i="36"/>
  <c r="AC153" i="36"/>
  <c r="AB153" i="36"/>
  <c r="AA153" i="36"/>
  <c r="Z153" i="36"/>
  <c r="X153" i="36"/>
  <c r="W153" i="36"/>
  <c r="V153" i="36"/>
  <c r="U153" i="36"/>
  <c r="T153" i="36"/>
  <c r="S153" i="36"/>
  <c r="R153" i="36"/>
  <c r="BC413" i="36"/>
  <c r="AW211" i="36"/>
  <c r="AV211" i="36"/>
  <c r="AV227" i="36" s="1"/>
  <c r="AU211" i="36"/>
  <c r="AT211" i="36"/>
  <c r="AR211" i="36"/>
  <c r="AQ211" i="36"/>
  <c r="AP211" i="36"/>
  <c r="AO211" i="36"/>
  <c r="AM211" i="36"/>
  <c r="AL211" i="36"/>
  <c r="AL227" i="36" s="1"/>
  <c r="AK211" i="36"/>
  <c r="AK227" i="36" s="1"/>
  <c r="AJ211" i="36"/>
  <c r="AH211" i="36"/>
  <c r="AG211" i="36"/>
  <c r="AF211" i="36"/>
  <c r="AE211" i="36"/>
  <c r="AC211" i="36"/>
  <c r="AC227" i="36" s="1"/>
  <c r="AB211" i="36"/>
  <c r="AB227" i="36" s="1"/>
  <c r="AA211" i="36"/>
  <c r="AA227" i="36" s="1"/>
  <c r="Z211" i="36"/>
  <c r="X211" i="36"/>
  <c r="W211" i="36"/>
  <c r="V211" i="36"/>
  <c r="U211" i="36"/>
  <c r="T211" i="36"/>
  <c r="S211" i="36"/>
  <c r="R211" i="36"/>
  <c r="R227" i="36" s="1"/>
  <c r="AW210" i="36"/>
  <c r="AV210" i="36"/>
  <c r="AU210" i="36"/>
  <c r="AT210" i="36"/>
  <c r="AR210" i="36"/>
  <c r="AQ210" i="36"/>
  <c r="AQ226" i="36" s="1"/>
  <c r="AP210" i="36"/>
  <c r="AP226" i="36" s="1"/>
  <c r="AO210" i="36"/>
  <c r="AO226" i="36" s="1"/>
  <c r="AM210" i="36"/>
  <c r="AL210" i="36"/>
  <c r="AK210" i="36"/>
  <c r="AJ210" i="36"/>
  <c r="AH210" i="36"/>
  <c r="AG210" i="36"/>
  <c r="AG226" i="36" s="1"/>
  <c r="AF210" i="36"/>
  <c r="AF226" i="36" s="1"/>
  <c r="AE210" i="36"/>
  <c r="AE226" i="36" s="1"/>
  <c r="AC210" i="36"/>
  <c r="AB210" i="36"/>
  <c r="AA210" i="36"/>
  <c r="Z210" i="36"/>
  <c r="X210" i="36"/>
  <c r="W210" i="36"/>
  <c r="V210" i="36"/>
  <c r="U210" i="36"/>
  <c r="T210" i="36"/>
  <c r="S210" i="36"/>
  <c r="R210" i="36"/>
  <c r="R226" i="36" s="1"/>
  <c r="AW209" i="36"/>
  <c r="AV209" i="36"/>
  <c r="AU209" i="36"/>
  <c r="AU225" i="36" s="1"/>
  <c r="AT209" i="36"/>
  <c r="AT225" i="36" s="1"/>
  <c r="AR209" i="36"/>
  <c r="AR225" i="36" s="1"/>
  <c r="AQ209" i="36"/>
  <c r="AP209" i="36"/>
  <c r="AO209" i="36"/>
  <c r="AM209" i="36"/>
  <c r="AL209" i="36"/>
  <c r="AK209" i="36"/>
  <c r="AK225" i="36" s="1"/>
  <c r="AJ209" i="36"/>
  <c r="AJ225" i="36" s="1"/>
  <c r="AH209" i="36"/>
  <c r="AH225" i="36" s="1"/>
  <c r="AG209" i="36"/>
  <c r="AF209" i="36"/>
  <c r="AE209" i="36"/>
  <c r="AC209" i="36"/>
  <c r="AB209" i="36"/>
  <c r="AA209" i="36"/>
  <c r="AA225" i="36" s="1"/>
  <c r="Z209" i="36"/>
  <c r="Z225" i="36" s="1"/>
  <c r="X209" i="36"/>
  <c r="W209" i="36"/>
  <c r="V209" i="36"/>
  <c r="U209" i="36"/>
  <c r="T209" i="36"/>
  <c r="S209" i="36"/>
  <c r="R209" i="36"/>
  <c r="R225" i="36" s="1"/>
  <c r="AW207" i="36"/>
  <c r="AV207" i="36"/>
  <c r="AU207" i="36"/>
  <c r="AT207" i="36"/>
  <c r="AR207" i="36"/>
  <c r="AQ207" i="36"/>
  <c r="AQ208" i="36" s="1"/>
  <c r="AP207" i="36"/>
  <c r="AO207" i="36"/>
  <c r="AM207" i="36"/>
  <c r="AL207" i="36"/>
  <c r="AK207" i="36"/>
  <c r="AJ207" i="36"/>
  <c r="AH207" i="36"/>
  <c r="AG207" i="36"/>
  <c r="AF207" i="36"/>
  <c r="AE207" i="36"/>
  <c r="AC207" i="36"/>
  <c r="AB207" i="36"/>
  <c r="AA207" i="36"/>
  <c r="Z207" i="36"/>
  <c r="X207" i="36"/>
  <c r="W207" i="36"/>
  <c r="W208" i="36" s="1"/>
  <c r="V207" i="36"/>
  <c r="U207" i="36"/>
  <c r="T207" i="36"/>
  <c r="S207" i="36"/>
  <c r="R207" i="36"/>
  <c r="AW206" i="36"/>
  <c r="AV206" i="36"/>
  <c r="AU206" i="36"/>
  <c r="AT206" i="36"/>
  <c r="AR206" i="36"/>
  <c r="AQ206" i="36"/>
  <c r="AP206" i="36"/>
  <c r="AO206" i="36"/>
  <c r="AM206" i="36"/>
  <c r="AL206" i="36"/>
  <c r="AK206" i="36"/>
  <c r="AJ206" i="36"/>
  <c r="AH206" i="36"/>
  <c r="AG206" i="36"/>
  <c r="AF206" i="36"/>
  <c r="AE206" i="36"/>
  <c r="AC206" i="36"/>
  <c r="AB206" i="36"/>
  <c r="AA206" i="36"/>
  <c r="Z206" i="36"/>
  <c r="X206" i="36"/>
  <c r="W206" i="36"/>
  <c r="V206" i="36"/>
  <c r="U206" i="36"/>
  <c r="T206" i="36"/>
  <c r="S206" i="36"/>
  <c r="R206" i="36"/>
  <c r="AW205" i="36"/>
  <c r="AV205" i="36"/>
  <c r="AU205" i="36"/>
  <c r="AT205" i="36"/>
  <c r="AR205" i="36"/>
  <c r="AQ205" i="36"/>
  <c r="AP205" i="36"/>
  <c r="AO205" i="36"/>
  <c r="AM205" i="36"/>
  <c r="AL205" i="36"/>
  <c r="AK205" i="36"/>
  <c r="AJ205" i="36"/>
  <c r="AH205" i="36"/>
  <c r="AG205" i="36"/>
  <c r="AF205" i="36"/>
  <c r="AE205" i="36"/>
  <c r="AC205" i="36"/>
  <c r="AB205" i="36"/>
  <c r="AA205" i="36"/>
  <c r="Z205" i="36"/>
  <c r="X205" i="36"/>
  <c r="W205" i="36"/>
  <c r="V205" i="36"/>
  <c r="U205" i="36"/>
  <c r="T205" i="36"/>
  <c r="S205" i="36"/>
  <c r="R205" i="36"/>
  <c r="Q53" i="16"/>
  <c r="P53" i="16"/>
  <c r="O53" i="16"/>
  <c r="N53" i="16"/>
  <c r="Q52" i="16"/>
  <c r="P52" i="16"/>
  <c r="O52" i="16"/>
  <c r="N52" i="16"/>
  <c r="Q50" i="16"/>
  <c r="P50" i="16"/>
  <c r="O50" i="16"/>
  <c r="N50" i="16"/>
  <c r="E49" i="16"/>
  <c r="Q46" i="16"/>
  <c r="P46" i="16"/>
  <c r="O46" i="16"/>
  <c r="N46" i="16"/>
  <c r="Q45" i="16"/>
  <c r="P45" i="16"/>
  <c r="O45" i="16"/>
  <c r="N45" i="16"/>
  <c r="Q43" i="16"/>
  <c r="P43" i="16"/>
  <c r="O43" i="16"/>
  <c r="N43" i="16"/>
  <c r="E42" i="16"/>
  <c r="BH364" i="36"/>
  <c r="BC364" i="36"/>
  <c r="BG325" i="36"/>
  <c r="BE325" i="36"/>
  <c r="BB325" i="36"/>
  <c r="AZ325" i="36"/>
  <c r="BH372" i="36"/>
  <c r="BC372" i="36"/>
  <c r="AY8" i="36"/>
  <c r="AZ8" i="36" s="1"/>
  <c r="BA8" i="36" s="1"/>
  <c r="BB8" i="36" s="1"/>
  <c r="AY28" i="36"/>
  <c r="AZ28" i="36" s="1"/>
  <c r="BA28" i="36" s="1"/>
  <c r="BB28" i="36" s="1"/>
  <c r="BC385" i="36"/>
  <c r="BH385" i="36"/>
  <c r="AW66" i="36"/>
  <c r="AW64" i="36"/>
  <c r="AW45" i="36"/>
  <c r="AX30" i="36"/>
  <c r="AV66" i="36"/>
  <c r="AV64" i="36"/>
  <c r="AU64" i="36"/>
  <c r="AU67" i="36" s="1"/>
  <c r="AR64" i="36"/>
  <c r="AR67" i="36" s="1"/>
  <c r="AS67" i="36" s="1"/>
  <c r="AT64" i="36"/>
  <c r="AT67" i="36" s="1"/>
  <c r="AX65" i="36"/>
  <c r="AQ64" i="36"/>
  <c r="AQ67" i="36" s="1"/>
  <c r="AP64" i="36"/>
  <c r="AP67" i="36" s="1"/>
  <c r="AM64" i="36"/>
  <c r="AM67" i="36" s="1"/>
  <c r="AN67" i="36" s="1"/>
  <c r="AO64" i="36"/>
  <c r="AO67" i="36" s="1"/>
  <c r="AS65" i="36"/>
  <c r="AL64" i="36"/>
  <c r="AL67" i="36" s="1"/>
  <c r="AK64" i="36"/>
  <c r="AK67" i="36" s="1"/>
  <c r="AH64" i="36"/>
  <c r="AI64" i="36" s="1"/>
  <c r="AJ64" i="36"/>
  <c r="AN66" i="36"/>
  <c r="AN65" i="36"/>
  <c r="AG64" i="36"/>
  <c r="AG67" i="36" s="1"/>
  <c r="AF64" i="36"/>
  <c r="AF67" i="36" s="1"/>
  <c r="AC66" i="36"/>
  <c r="AC64" i="36"/>
  <c r="AD64" i="36" s="1"/>
  <c r="AE64" i="36"/>
  <c r="AE66" i="36"/>
  <c r="AI65" i="36"/>
  <c r="AD65" i="36"/>
  <c r="AB64" i="36"/>
  <c r="AB67" i="36" s="1"/>
  <c r="AA64" i="36"/>
  <c r="AA67" i="36" s="1"/>
  <c r="Z67" i="36"/>
  <c r="Y67" i="36"/>
  <c r="T66" i="36"/>
  <c r="R66" i="36"/>
  <c r="R67" i="36" s="1"/>
  <c r="S64" i="36"/>
  <c r="S66" i="36"/>
  <c r="Y30" i="36"/>
  <c r="AD30" i="36"/>
  <c r="AI30" i="36"/>
  <c r="AN30" i="36"/>
  <c r="BH414" i="36"/>
  <c r="BH391" i="36"/>
  <c r="BH380" i="36"/>
  <c r="BH379" i="36"/>
  <c r="BH375" i="36"/>
  <c r="BH371" i="36"/>
  <c r="BH370" i="36"/>
  <c r="BH369" i="36"/>
  <c r="BH368" i="36"/>
  <c r="BH367" i="36"/>
  <c r="BH366" i="36"/>
  <c r="BH365" i="36"/>
  <c r="BH362" i="36"/>
  <c r="BH361" i="36"/>
  <c r="BI361" i="36" s="1"/>
  <c r="BJ361" i="36" s="1"/>
  <c r="BK361" i="36" s="1"/>
  <c r="BL361" i="36" s="1"/>
  <c r="BH360" i="36"/>
  <c r="BH358" i="36"/>
  <c r="BC380" i="36"/>
  <c r="BC379" i="36"/>
  <c r="BC375" i="36"/>
  <c r="BC371" i="36"/>
  <c r="BC370" i="36"/>
  <c r="BC369" i="36"/>
  <c r="BC368" i="36"/>
  <c r="BC367" i="36"/>
  <c r="BC366" i="36"/>
  <c r="BC365" i="36"/>
  <c r="BC362" i="36"/>
  <c r="BC361" i="36"/>
  <c r="BC360" i="36"/>
  <c r="AW417" i="36"/>
  <c r="AV417" i="36"/>
  <c r="AU417" i="36"/>
  <c r="AR417" i="36"/>
  <c r="AQ417" i="36"/>
  <c r="AP417" i="36"/>
  <c r="AM417" i="36"/>
  <c r="AL417" i="36"/>
  <c r="AK417" i="36"/>
  <c r="AH417" i="36"/>
  <c r="AG417" i="36"/>
  <c r="AF417" i="36"/>
  <c r="AC417" i="36"/>
  <c r="AB417" i="36"/>
  <c r="AA417" i="36"/>
  <c r="X417" i="36"/>
  <c r="W417" i="36"/>
  <c r="V417" i="36"/>
  <c r="U417" i="36"/>
  <c r="BH274" i="36"/>
  <c r="BC274" i="36"/>
  <c r="BH273" i="36"/>
  <c r="BC273" i="36"/>
  <c r="BH272" i="36"/>
  <c r="BC272" i="36"/>
  <c r="BH271" i="36"/>
  <c r="BC271" i="36"/>
  <c r="BH270" i="36"/>
  <c r="BC270" i="36"/>
  <c r="BH275" i="36"/>
  <c r="BH269" i="36"/>
  <c r="BH265" i="36"/>
  <c r="BH257" i="36"/>
  <c r="BH256" i="36"/>
  <c r="AW329" i="36"/>
  <c r="AW328" i="36"/>
  <c r="AW327" i="36"/>
  <c r="AW326" i="36"/>
  <c r="AW325" i="36"/>
  <c r="AW324" i="36"/>
  <c r="AW323" i="36"/>
  <c r="AW322" i="36"/>
  <c r="AW321" i="36"/>
  <c r="AX300" i="36"/>
  <c r="AY300" i="36" s="1"/>
  <c r="AZ300" i="36" s="1"/>
  <c r="AZ329" i="36" s="1"/>
  <c r="AX299" i="36"/>
  <c r="AY299" i="36" s="1"/>
  <c r="AX298" i="36"/>
  <c r="AY298" i="36" s="1"/>
  <c r="AX297" i="36"/>
  <c r="AY297" i="36" s="1"/>
  <c r="AX296" i="36"/>
  <c r="AY359" i="36" s="1"/>
  <c r="AY325" i="36" s="1"/>
  <c r="BC137" i="36"/>
  <c r="BB175" i="36"/>
  <c r="BG175" i="36" s="1"/>
  <c r="BA175" i="36"/>
  <c r="BF175" i="36" s="1"/>
  <c r="AZ175" i="36"/>
  <c r="AY175" i="36"/>
  <c r="BB143" i="36"/>
  <c r="BA143" i="36"/>
  <c r="AZ143" i="36"/>
  <c r="AY143" i="36"/>
  <c r="BH139" i="36"/>
  <c r="BH207" i="36" s="1"/>
  <c r="BC139" i="36"/>
  <c r="BC207" i="36" s="1"/>
  <c r="BH138" i="36"/>
  <c r="BC138" i="36"/>
  <c r="BH137" i="36"/>
  <c r="BB120" i="36"/>
  <c r="BG120" i="36" s="1"/>
  <c r="BA120" i="36"/>
  <c r="BF120" i="36" s="1"/>
  <c r="AZ120" i="36"/>
  <c r="AY120" i="36"/>
  <c r="BD120" i="36" s="1"/>
  <c r="BH83" i="36"/>
  <c r="BH82" i="36"/>
  <c r="BC83" i="36"/>
  <c r="BC82" i="36"/>
  <c r="BB88" i="36"/>
  <c r="BA88" i="36"/>
  <c r="BA85" i="36" s="1"/>
  <c r="AZ88" i="36"/>
  <c r="AY88" i="36"/>
  <c r="BH84" i="36"/>
  <c r="BC84" i="36"/>
  <c r="BG276" i="36"/>
  <c r="BF276" i="36"/>
  <c r="BE276" i="36"/>
  <c r="BD276" i="36"/>
  <c r="BG77" i="36"/>
  <c r="BG353" i="36" s="1"/>
  <c r="BF77" i="36"/>
  <c r="BF353" i="36" s="1"/>
  <c r="BE77" i="36"/>
  <c r="BE353" i="36" s="1"/>
  <c r="BD77" i="36"/>
  <c r="BD353" i="36" s="1"/>
  <c r="R161" i="36"/>
  <c r="S161" i="36"/>
  <c r="T161" i="36"/>
  <c r="AW159" i="36"/>
  <c r="AV159" i="36"/>
  <c r="AU159" i="36"/>
  <c r="AT159" i="36"/>
  <c r="AR159" i="36"/>
  <c r="AQ159" i="36"/>
  <c r="AP159" i="36"/>
  <c r="AO159" i="36"/>
  <c r="AM159" i="36"/>
  <c r="AL159" i="36"/>
  <c r="AK159" i="36"/>
  <c r="AJ159" i="36"/>
  <c r="AH159" i="36"/>
  <c r="AG159" i="36"/>
  <c r="AF159" i="36"/>
  <c r="AE159" i="36"/>
  <c r="AC159" i="36"/>
  <c r="AB159" i="36"/>
  <c r="AA159" i="36"/>
  <c r="Z159" i="36"/>
  <c r="AW158" i="36"/>
  <c r="AV158" i="36"/>
  <c r="AU158" i="36"/>
  <c r="AT158" i="36"/>
  <c r="AR158" i="36"/>
  <c r="AQ158" i="36"/>
  <c r="AP158" i="36"/>
  <c r="AO158" i="36"/>
  <c r="AM158" i="36"/>
  <c r="AL158" i="36"/>
  <c r="AK158" i="36"/>
  <c r="AJ158" i="36"/>
  <c r="AH158" i="36"/>
  <c r="AG158" i="36"/>
  <c r="AF158" i="36"/>
  <c r="AE158" i="36"/>
  <c r="AC158" i="36"/>
  <c r="AB158" i="36"/>
  <c r="AA158" i="36"/>
  <c r="Z158" i="36"/>
  <c r="AW157" i="36"/>
  <c r="AV157" i="36"/>
  <c r="AU157" i="36"/>
  <c r="AT157" i="36"/>
  <c r="AR157" i="36"/>
  <c r="AQ157" i="36"/>
  <c r="AP157" i="36"/>
  <c r="AO157" i="36"/>
  <c r="AM157" i="36"/>
  <c r="AL157" i="36"/>
  <c r="AK157" i="36"/>
  <c r="AJ157" i="36"/>
  <c r="AH157" i="36"/>
  <c r="AG157" i="36"/>
  <c r="AF157" i="36"/>
  <c r="AE157" i="36"/>
  <c r="AC157" i="36"/>
  <c r="AB157" i="36"/>
  <c r="AA157" i="36"/>
  <c r="Z157" i="36"/>
  <c r="T159" i="36"/>
  <c r="S159" i="36"/>
  <c r="R159" i="36"/>
  <c r="T158" i="36"/>
  <c r="S158" i="36"/>
  <c r="R158" i="36"/>
  <c r="T157" i="36"/>
  <c r="S157" i="36"/>
  <c r="R157" i="36"/>
  <c r="AW152" i="36"/>
  <c r="AV152" i="36"/>
  <c r="BA152" i="36" s="1"/>
  <c r="AU152" i="36"/>
  <c r="AT152" i="36"/>
  <c r="AR152" i="36"/>
  <c r="AQ152" i="36"/>
  <c r="AP152" i="36"/>
  <c r="AO152" i="36"/>
  <c r="AM152" i="36"/>
  <c r="AL152" i="36"/>
  <c r="AK152" i="36"/>
  <c r="AJ152" i="36"/>
  <c r="AH152" i="36"/>
  <c r="AG152" i="36"/>
  <c r="AF152" i="36"/>
  <c r="AE152" i="36"/>
  <c r="AC152" i="36"/>
  <c r="AB152" i="36"/>
  <c r="AA152" i="36"/>
  <c r="Z152" i="36"/>
  <c r="X152" i="36"/>
  <c r="W152" i="36"/>
  <c r="V152" i="36"/>
  <c r="U152" i="36"/>
  <c r="T152" i="36"/>
  <c r="S152" i="36"/>
  <c r="AW151" i="36"/>
  <c r="AV151" i="36"/>
  <c r="BA151" i="36" s="1"/>
  <c r="AU151" i="36"/>
  <c r="AT151" i="36"/>
  <c r="AY151" i="36" s="1"/>
  <c r="AR151" i="36"/>
  <c r="AQ151" i="36"/>
  <c r="AP151" i="36"/>
  <c r="AO151" i="36"/>
  <c r="AM151" i="36"/>
  <c r="AL151" i="36"/>
  <c r="AK151" i="36"/>
  <c r="AJ151" i="36"/>
  <c r="AH151" i="36"/>
  <c r="AG151" i="36"/>
  <c r="AF151" i="36"/>
  <c r="AE151" i="36"/>
  <c r="AC151" i="36"/>
  <c r="AB151" i="36"/>
  <c r="AA151" i="36"/>
  <c r="Z151" i="36"/>
  <c r="X151" i="36"/>
  <c r="W151" i="36"/>
  <c r="V151" i="36"/>
  <c r="U151" i="36"/>
  <c r="T151" i="36"/>
  <c r="S151" i="36"/>
  <c r="AW150" i="36"/>
  <c r="AV150" i="36"/>
  <c r="BA150" i="36" s="1"/>
  <c r="AU150" i="36"/>
  <c r="AZ150" i="36" s="1"/>
  <c r="AT150" i="36"/>
  <c r="AR150" i="36"/>
  <c r="AQ150" i="36"/>
  <c r="AP150" i="36"/>
  <c r="AO150" i="36"/>
  <c r="AM150" i="36"/>
  <c r="AL150" i="36"/>
  <c r="AK150" i="36"/>
  <c r="AJ150" i="36"/>
  <c r="AH150" i="36"/>
  <c r="AG150" i="36"/>
  <c r="AF150" i="36"/>
  <c r="AE150" i="36"/>
  <c r="AC150" i="36"/>
  <c r="AB150" i="36"/>
  <c r="AA150" i="36"/>
  <c r="Z150" i="36"/>
  <c r="X150" i="36"/>
  <c r="W150" i="36"/>
  <c r="V150" i="36"/>
  <c r="U150" i="36"/>
  <c r="T150" i="36"/>
  <c r="S150" i="36"/>
  <c r="R150" i="36"/>
  <c r="AW149" i="36"/>
  <c r="AV149" i="36"/>
  <c r="AU149" i="36"/>
  <c r="AT149" i="36"/>
  <c r="AR149" i="36"/>
  <c r="AQ149" i="36"/>
  <c r="AP149" i="36"/>
  <c r="AO149" i="36"/>
  <c r="AM149" i="36"/>
  <c r="AL149" i="36"/>
  <c r="AK149" i="36"/>
  <c r="AJ149" i="36"/>
  <c r="AH149" i="36"/>
  <c r="AG149" i="36"/>
  <c r="AF149" i="36"/>
  <c r="AE149" i="36"/>
  <c r="AC149" i="36"/>
  <c r="AB149" i="36"/>
  <c r="AA149" i="36"/>
  <c r="Z149" i="36"/>
  <c r="X149" i="36"/>
  <c r="W149" i="36"/>
  <c r="V149" i="36"/>
  <c r="U149" i="36"/>
  <c r="T149" i="36"/>
  <c r="S149" i="36"/>
  <c r="R149" i="36"/>
  <c r="R152" i="36"/>
  <c r="R151" i="36"/>
  <c r="R135" i="36"/>
  <c r="AW97" i="36"/>
  <c r="BB97" i="36" s="1"/>
  <c r="AV97" i="36"/>
  <c r="BA97" i="36" s="1"/>
  <c r="AU97" i="36"/>
  <c r="AZ97" i="36" s="1"/>
  <c r="BE97" i="36" s="1"/>
  <c r="AT97" i="36"/>
  <c r="AY97" i="36" s="1"/>
  <c r="AR97" i="36"/>
  <c r="AQ97" i="36"/>
  <c r="AP97" i="36"/>
  <c r="AO97" i="36"/>
  <c r="AM97" i="36"/>
  <c r="AL97" i="36"/>
  <c r="AK97" i="36"/>
  <c r="AJ97" i="36"/>
  <c r="AH97" i="36"/>
  <c r="AG97" i="36"/>
  <c r="AF97" i="36"/>
  <c r="AE97" i="36"/>
  <c r="AC97" i="36"/>
  <c r="AB97" i="36"/>
  <c r="AA97" i="36"/>
  <c r="Z97" i="36"/>
  <c r="X97" i="36"/>
  <c r="W97" i="36"/>
  <c r="V97" i="36"/>
  <c r="U97" i="36"/>
  <c r="T97" i="36"/>
  <c r="S97" i="36"/>
  <c r="AW96" i="36"/>
  <c r="AV96" i="36"/>
  <c r="BA96" i="36" s="1"/>
  <c r="AU96" i="36"/>
  <c r="AZ96" i="36" s="1"/>
  <c r="AT96" i="36"/>
  <c r="AY96" i="36" s="1"/>
  <c r="AR96" i="36"/>
  <c r="AQ96" i="36"/>
  <c r="AP96" i="36"/>
  <c r="AO96" i="36"/>
  <c r="AM96" i="36"/>
  <c r="AL96" i="36"/>
  <c r="AK96" i="36"/>
  <c r="AJ96" i="36"/>
  <c r="AH96" i="36"/>
  <c r="AG96" i="36"/>
  <c r="AF96" i="36"/>
  <c r="AE96" i="36"/>
  <c r="AC96" i="36"/>
  <c r="AB96" i="36"/>
  <c r="AA96" i="36"/>
  <c r="Z96" i="36"/>
  <c r="X96" i="36"/>
  <c r="W96" i="36"/>
  <c r="V96" i="36"/>
  <c r="U96" i="36"/>
  <c r="T96" i="36"/>
  <c r="S96" i="36"/>
  <c r="R97" i="36"/>
  <c r="R96" i="36"/>
  <c r="AC104" i="36"/>
  <c r="AB104" i="36"/>
  <c r="AA104" i="36"/>
  <c r="Z104" i="36"/>
  <c r="AC103" i="36"/>
  <c r="AB103" i="36"/>
  <c r="AA103" i="36"/>
  <c r="Z103" i="36"/>
  <c r="AC102" i="36"/>
  <c r="AB102" i="36"/>
  <c r="AA102" i="36"/>
  <c r="Z102" i="36"/>
  <c r="AW95" i="36"/>
  <c r="BB95" i="36" s="1"/>
  <c r="AV95" i="36"/>
  <c r="BA95" i="36" s="1"/>
  <c r="AU95" i="36"/>
  <c r="AZ95" i="36" s="1"/>
  <c r="BE95" i="36" s="1"/>
  <c r="AT95" i="36"/>
  <c r="AY95" i="36" s="1"/>
  <c r="BD95" i="36" s="1"/>
  <c r="AR95" i="36"/>
  <c r="AQ95" i="36"/>
  <c r="AP95" i="36"/>
  <c r="AO95" i="36"/>
  <c r="AM95" i="36"/>
  <c r="AL95" i="36"/>
  <c r="AK95" i="36"/>
  <c r="AJ95" i="36"/>
  <c r="AH95" i="36"/>
  <c r="AG95" i="36"/>
  <c r="AF95" i="36"/>
  <c r="AE95" i="36"/>
  <c r="AC95" i="36"/>
  <c r="AB95" i="36"/>
  <c r="AA95" i="36"/>
  <c r="Z95" i="36"/>
  <c r="X95" i="36"/>
  <c r="W95" i="36"/>
  <c r="V95" i="36"/>
  <c r="U95" i="36"/>
  <c r="AW94" i="36"/>
  <c r="AV94" i="36"/>
  <c r="AU94" i="36"/>
  <c r="AT94" i="36"/>
  <c r="AR94" i="36"/>
  <c r="AQ94" i="36"/>
  <c r="AP94" i="36"/>
  <c r="AO94" i="36"/>
  <c r="AM94" i="36"/>
  <c r="AL94" i="36"/>
  <c r="AK94" i="36"/>
  <c r="AJ94" i="36"/>
  <c r="AH94" i="36"/>
  <c r="AG94" i="36"/>
  <c r="AF94" i="36"/>
  <c r="AE94" i="36"/>
  <c r="AC94" i="36"/>
  <c r="AB94" i="36"/>
  <c r="AA94" i="36"/>
  <c r="Z94" i="36"/>
  <c r="X94" i="36"/>
  <c r="W94" i="36"/>
  <c r="V94" i="36"/>
  <c r="U94" i="36"/>
  <c r="T94" i="36"/>
  <c r="S94" i="36"/>
  <c r="R94" i="36"/>
  <c r="T95" i="36"/>
  <c r="S95" i="36"/>
  <c r="R95" i="36"/>
  <c r="R104" i="36"/>
  <c r="R103" i="36"/>
  <c r="R102" i="36"/>
  <c r="T273" i="36"/>
  <c r="S273" i="36"/>
  <c r="R273" i="36"/>
  <c r="T195" i="36"/>
  <c r="T246" i="36" s="1"/>
  <c r="S195" i="36"/>
  <c r="R195" i="36"/>
  <c r="R246" i="36" s="1"/>
  <c r="T192" i="36"/>
  <c r="T243" i="36" s="1"/>
  <c r="S192" i="36"/>
  <c r="S243" i="36" s="1"/>
  <c r="R192" i="36"/>
  <c r="R243" i="36" s="1"/>
  <c r="T191" i="36"/>
  <c r="T240" i="36" s="1"/>
  <c r="S191" i="36"/>
  <c r="S240" i="36" s="1"/>
  <c r="R191" i="36"/>
  <c r="R240" i="36" s="1"/>
  <c r="T147" i="36"/>
  <c r="S147" i="36"/>
  <c r="R147" i="36"/>
  <c r="T146" i="36"/>
  <c r="S146" i="36"/>
  <c r="R146" i="36"/>
  <c r="T145" i="36"/>
  <c r="S145" i="36"/>
  <c r="R145" i="36"/>
  <c r="T92" i="36"/>
  <c r="S92" i="36"/>
  <c r="R92" i="36"/>
  <c r="T91" i="36"/>
  <c r="S91" i="36"/>
  <c r="R91" i="36"/>
  <c r="R274" i="36"/>
  <c r="R249" i="36"/>
  <c r="R237" i="36"/>
  <c r="R202" i="36"/>
  <c r="R184" i="36"/>
  <c r="R182" i="36"/>
  <c r="R179" i="36"/>
  <c r="R176" i="36"/>
  <c r="R173" i="36"/>
  <c r="R170" i="36"/>
  <c r="R140" i="36"/>
  <c r="R144" i="36" s="1"/>
  <c r="R129" i="36"/>
  <c r="R127" i="36"/>
  <c r="R124" i="36"/>
  <c r="R121" i="36"/>
  <c r="R118" i="36"/>
  <c r="R115" i="36"/>
  <c r="R90" i="36"/>
  <c r="R85" i="36"/>
  <c r="R89" i="36" s="1"/>
  <c r="S274" i="36"/>
  <c r="S249" i="36"/>
  <c r="S237" i="36"/>
  <c r="S202" i="36"/>
  <c r="S246" i="36"/>
  <c r="S184" i="36"/>
  <c r="S182" i="36"/>
  <c r="S179" i="36"/>
  <c r="S176" i="36"/>
  <c r="S173" i="36"/>
  <c r="S170" i="36"/>
  <c r="S140" i="36"/>
  <c r="S135" i="36"/>
  <c r="S129" i="36"/>
  <c r="S127" i="36"/>
  <c r="S124" i="36"/>
  <c r="S121" i="36"/>
  <c r="S118" i="36"/>
  <c r="S115" i="36"/>
  <c r="S104" i="36"/>
  <c r="S103" i="36"/>
  <c r="S102" i="36"/>
  <c r="S90" i="36"/>
  <c r="S85" i="36"/>
  <c r="S80" i="36"/>
  <c r="T135" i="36"/>
  <c r="T104" i="36"/>
  <c r="T103" i="36"/>
  <c r="T102" i="36"/>
  <c r="T80" i="36"/>
  <c r="T274" i="36"/>
  <c r="T249" i="36"/>
  <c r="T237" i="36"/>
  <c r="T202" i="36"/>
  <c r="T184" i="36"/>
  <c r="T185" i="36" s="1"/>
  <c r="T182" i="36"/>
  <c r="T179" i="36"/>
  <c r="T176" i="36"/>
  <c r="T173" i="36"/>
  <c r="T170" i="36"/>
  <c r="T140" i="36"/>
  <c r="T144" i="36" s="1"/>
  <c r="E51" i="16" s="1"/>
  <c r="T129" i="36"/>
  <c r="T130" i="36" s="1"/>
  <c r="T127" i="36"/>
  <c r="T124" i="36"/>
  <c r="T121" i="36"/>
  <c r="T118" i="36"/>
  <c r="T115" i="36"/>
  <c r="T90" i="36"/>
  <c r="T85" i="36"/>
  <c r="R77" i="36"/>
  <c r="R353" i="36" s="1"/>
  <c r="X273" i="36"/>
  <c r="X271" i="36"/>
  <c r="X195" i="36"/>
  <c r="X246" i="36" s="1"/>
  <c r="X219" i="36" s="1"/>
  <c r="X191" i="36"/>
  <c r="X240" i="36" s="1"/>
  <c r="X192" i="36"/>
  <c r="X243" i="36" s="1"/>
  <c r="Y198" i="36"/>
  <c r="Y193" i="36"/>
  <c r="Y190" i="36"/>
  <c r="AD193" i="36"/>
  <c r="W273" i="36"/>
  <c r="W271" i="36"/>
  <c r="W191" i="36"/>
  <c r="W240" i="36" s="1"/>
  <c r="W195" i="36"/>
  <c r="W246" i="36" s="1"/>
  <c r="W192" i="36"/>
  <c r="W243" i="36" s="1"/>
  <c r="V273" i="36"/>
  <c r="V271" i="36"/>
  <c r="V195" i="36"/>
  <c r="V246" i="36" s="1"/>
  <c r="V257" i="36"/>
  <c r="Y257" i="36" s="1"/>
  <c r="V192" i="36"/>
  <c r="V243" i="36" s="1"/>
  <c r="V191" i="36"/>
  <c r="V240" i="36" s="1"/>
  <c r="U273" i="36"/>
  <c r="U271" i="36"/>
  <c r="AW237" i="36"/>
  <c r="AV237" i="36"/>
  <c r="AU237" i="36"/>
  <c r="AT237" i="36"/>
  <c r="AR237" i="36"/>
  <c r="AQ237" i="36"/>
  <c r="AP237" i="36"/>
  <c r="AO237" i="36"/>
  <c r="AM237" i="36"/>
  <c r="AL237" i="36"/>
  <c r="AK237" i="36"/>
  <c r="AK215" i="36" s="1"/>
  <c r="AJ237" i="36"/>
  <c r="AH237" i="36"/>
  <c r="AG237" i="36"/>
  <c r="AF237" i="36"/>
  <c r="AE237" i="36"/>
  <c r="AC237" i="36"/>
  <c r="AB237" i="36"/>
  <c r="AA237" i="36"/>
  <c r="Z237" i="36"/>
  <c r="X237" i="36"/>
  <c r="V237" i="36"/>
  <c r="U237" i="36"/>
  <c r="U192" i="36"/>
  <c r="U243" i="36" s="1"/>
  <c r="U195" i="36"/>
  <c r="U246" i="36" s="1"/>
  <c r="U191" i="36"/>
  <c r="U240" i="36" s="1"/>
  <c r="AC271" i="36"/>
  <c r="AW249" i="36"/>
  <c r="AV249" i="36"/>
  <c r="AU249" i="36"/>
  <c r="AT249" i="36"/>
  <c r="AR249" i="36"/>
  <c r="AQ249" i="36"/>
  <c r="AP249" i="36"/>
  <c r="AO249" i="36"/>
  <c r="AM249" i="36"/>
  <c r="AL249" i="36"/>
  <c r="AK249" i="36"/>
  <c r="AJ249" i="36"/>
  <c r="AH249" i="36"/>
  <c r="AG249" i="36"/>
  <c r="AF249" i="36"/>
  <c r="AE249" i="36"/>
  <c r="AC249" i="36"/>
  <c r="AB249" i="36"/>
  <c r="AA249" i="36"/>
  <c r="X249" i="36"/>
  <c r="W249" i="36"/>
  <c r="W220" i="36" s="1"/>
  <c r="V249" i="36"/>
  <c r="U249" i="36"/>
  <c r="AW202" i="36"/>
  <c r="AV202" i="36"/>
  <c r="AU202" i="36"/>
  <c r="AT202" i="36"/>
  <c r="AR202" i="36"/>
  <c r="AQ202" i="36"/>
  <c r="AP202" i="36"/>
  <c r="AO202" i="36"/>
  <c r="AM202" i="36"/>
  <c r="AL202" i="36"/>
  <c r="AK202" i="36"/>
  <c r="AJ202" i="36"/>
  <c r="AH202" i="36"/>
  <c r="AG202" i="36"/>
  <c r="AF202" i="36"/>
  <c r="AE202" i="36"/>
  <c r="AE213" i="36" s="1"/>
  <c r="AC202" i="36"/>
  <c r="AB202" i="36"/>
  <c r="AA202" i="36"/>
  <c r="X202" i="36"/>
  <c r="W202" i="36"/>
  <c r="V202" i="36"/>
  <c r="U202" i="36"/>
  <c r="AC195" i="36"/>
  <c r="AC246" i="36" s="1"/>
  <c r="AC192" i="36"/>
  <c r="AC243" i="36" s="1"/>
  <c r="AC191" i="36"/>
  <c r="AC240" i="36" s="1"/>
  <c r="AC221" i="36" s="1"/>
  <c r="AB271" i="36"/>
  <c r="AB195" i="36"/>
  <c r="AB246" i="36" s="1"/>
  <c r="AB192" i="36"/>
  <c r="AB243" i="36" s="1"/>
  <c r="AB191" i="36"/>
  <c r="AB240" i="36" s="1"/>
  <c r="AA271" i="36"/>
  <c r="AA257" i="36"/>
  <c r="AA195" i="36"/>
  <c r="AA246" i="36" s="1"/>
  <c r="AA192" i="36"/>
  <c r="AA243" i="36" s="1"/>
  <c r="AA191" i="36"/>
  <c r="AA240" i="36" s="1"/>
  <c r="Z273" i="36"/>
  <c r="AD273" i="36" s="1"/>
  <c r="Z271" i="36"/>
  <c r="Z198" i="36"/>
  <c r="AD198" i="36" s="1"/>
  <c r="Z190" i="36"/>
  <c r="Z202" i="36" s="1"/>
  <c r="Z257" i="36"/>
  <c r="AD257" i="36" s="1"/>
  <c r="Z195" i="36"/>
  <c r="Z192" i="36"/>
  <c r="Z191" i="36"/>
  <c r="AD275" i="36"/>
  <c r="Y275" i="36"/>
  <c r="AC274" i="36"/>
  <c r="AB274" i="36"/>
  <c r="AA274" i="36"/>
  <c r="Z274" i="36"/>
  <c r="X274" i="36"/>
  <c r="W274" i="36"/>
  <c r="V274" i="36"/>
  <c r="U274" i="36"/>
  <c r="AD272" i="36"/>
  <c r="Y272" i="36"/>
  <c r="AD270" i="36"/>
  <c r="Y270" i="36"/>
  <c r="AD269" i="36"/>
  <c r="Y269" i="36"/>
  <c r="AD265" i="36"/>
  <c r="Y265" i="36"/>
  <c r="AD264" i="36"/>
  <c r="Y264" i="36"/>
  <c r="AD261" i="36"/>
  <c r="Y261" i="36"/>
  <c r="AD256" i="36"/>
  <c r="Y256" i="36"/>
  <c r="AD255" i="36"/>
  <c r="Y255" i="36"/>
  <c r="AC184" i="36"/>
  <c r="AC185" i="36" s="1"/>
  <c r="AB184" i="36"/>
  <c r="AB185" i="36" s="1"/>
  <c r="AA184" i="36"/>
  <c r="AA185" i="36" s="1"/>
  <c r="Z184" i="36"/>
  <c r="Z185" i="36" s="1"/>
  <c r="X184" i="36"/>
  <c r="X185" i="36" s="1"/>
  <c r="W184" i="36"/>
  <c r="W185" i="36" s="1"/>
  <c r="V184" i="36"/>
  <c r="V185" i="36" s="1"/>
  <c r="U184" i="36"/>
  <c r="U185" i="36" s="1"/>
  <c r="AC182" i="36"/>
  <c r="AB182" i="36"/>
  <c r="AA182" i="36"/>
  <c r="Z182" i="36"/>
  <c r="X182" i="36"/>
  <c r="W182" i="36"/>
  <c r="V182" i="36"/>
  <c r="U182" i="36"/>
  <c r="AD181" i="36"/>
  <c r="Y181" i="36"/>
  <c r="AC179" i="36"/>
  <c r="AB179" i="36"/>
  <c r="AA179" i="36"/>
  <c r="Z179" i="36"/>
  <c r="X179" i="36"/>
  <c r="W179" i="36"/>
  <c r="V179" i="36"/>
  <c r="U179" i="36"/>
  <c r="AD178" i="36"/>
  <c r="Y178" i="36"/>
  <c r="AC176" i="36"/>
  <c r="AB176" i="36"/>
  <c r="AA176" i="36"/>
  <c r="Z176" i="36"/>
  <c r="X176" i="36"/>
  <c r="W176" i="36"/>
  <c r="V176" i="36"/>
  <c r="U176" i="36"/>
  <c r="AD175" i="36"/>
  <c r="Y175" i="36"/>
  <c r="AC173" i="36"/>
  <c r="AB173" i="36"/>
  <c r="AA173" i="36"/>
  <c r="Z173" i="36"/>
  <c r="X173" i="36"/>
  <c r="W173" i="36"/>
  <c r="V173" i="36"/>
  <c r="U173" i="36"/>
  <c r="AD172" i="36"/>
  <c r="Y172" i="36"/>
  <c r="AC170" i="36"/>
  <c r="AB170" i="36"/>
  <c r="AA170" i="36"/>
  <c r="Z170" i="36"/>
  <c r="X170" i="36"/>
  <c r="W170" i="36"/>
  <c r="V170" i="36"/>
  <c r="U170" i="36"/>
  <c r="AD169" i="36"/>
  <c r="Y169" i="36"/>
  <c r="AD148" i="36"/>
  <c r="Y148" i="36"/>
  <c r="AC147" i="36"/>
  <c r="AB147" i="36"/>
  <c r="AA147" i="36"/>
  <c r="Z147" i="36"/>
  <c r="X147" i="36"/>
  <c r="W147" i="36"/>
  <c r="V147" i="36"/>
  <c r="U147" i="36"/>
  <c r="AC146" i="36"/>
  <c r="AB146" i="36"/>
  <c r="AA146" i="36"/>
  <c r="Z146" i="36"/>
  <c r="X146" i="36"/>
  <c r="W146" i="36"/>
  <c r="V146" i="36"/>
  <c r="U146" i="36"/>
  <c r="AC145" i="36"/>
  <c r="AB145" i="36"/>
  <c r="AA145" i="36"/>
  <c r="Z145" i="36"/>
  <c r="X145" i="36"/>
  <c r="W145" i="36"/>
  <c r="V145" i="36"/>
  <c r="U145" i="36"/>
  <c r="AD143" i="36"/>
  <c r="G49" i="16" s="1"/>
  <c r="Y143" i="36"/>
  <c r="F49" i="16" s="1"/>
  <c r="AD142" i="36"/>
  <c r="Y142" i="36"/>
  <c r="AD141" i="36"/>
  <c r="Y141" i="36"/>
  <c r="AC140" i="36"/>
  <c r="AC144" i="36" s="1"/>
  <c r="AB140" i="36"/>
  <c r="AA140" i="36"/>
  <c r="Z140" i="36"/>
  <c r="Z144" i="36" s="1"/>
  <c r="X140" i="36"/>
  <c r="W140" i="36"/>
  <c r="W144" i="36" s="1"/>
  <c r="V140" i="36"/>
  <c r="U140" i="36"/>
  <c r="U144" i="36" s="1"/>
  <c r="AD139" i="36"/>
  <c r="AD207" i="36" s="1"/>
  <c r="Y139" i="36"/>
  <c r="Y207" i="36" s="1"/>
  <c r="AD138" i="36"/>
  <c r="Y138" i="36"/>
  <c r="AD137" i="36"/>
  <c r="Y137" i="36"/>
  <c r="AD134" i="36"/>
  <c r="Y134" i="36"/>
  <c r="AC129" i="36"/>
  <c r="AC130" i="36" s="1"/>
  <c r="AB129" i="36"/>
  <c r="AB130" i="36" s="1"/>
  <c r="AA129" i="36"/>
  <c r="AA130" i="36" s="1"/>
  <c r="Z129" i="36"/>
  <c r="Z130" i="36" s="1"/>
  <c r="X129" i="36"/>
  <c r="X130" i="36" s="1"/>
  <c r="W129" i="36"/>
  <c r="W130" i="36" s="1"/>
  <c r="V129" i="36"/>
  <c r="V130" i="36" s="1"/>
  <c r="U129" i="36"/>
  <c r="U130" i="36" s="1"/>
  <c r="AC127" i="36"/>
  <c r="AB127" i="36"/>
  <c r="AA127" i="36"/>
  <c r="Z127" i="36"/>
  <c r="X127" i="36"/>
  <c r="W127" i="36"/>
  <c r="V127" i="36"/>
  <c r="U127" i="36"/>
  <c r="AD126" i="36"/>
  <c r="Y126" i="36"/>
  <c r="AC124" i="36"/>
  <c r="AB124" i="36"/>
  <c r="AA124" i="36"/>
  <c r="Z124" i="36"/>
  <c r="X124" i="36"/>
  <c r="W124" i="36"/>
  <c r="V124" i="36"/>
  <c r="U124" i="36"/>
  <c r="AD123" i="36"/>
  <c r="Y123" i="36"/>
  <c r="AC121" i="36"/>
  <c r="AB121" i="36"/>
  <c r="AA121" i="36"/>
  <c r="Z121" i="36"/>
  <c r="X121" i="36"/>
  <c r="W121" i="36"/>
  <c r="V121" i="36"/>
  <c r="U121" i="36"/>
  <c r="AD120" i="36"/>
  <c r="Y120" i="36"/>
  <c r="AC118" i="36"/>
  <c r="AB118" i="36"/>
  <c r="AA118" i="36"/>
  <c r="Z118" i="36"/>
  <c r="X118" i="36"/>
  <c r="W118" i="36"/>
  <c r="V118" i="36"/>
  <c r="U118" i="36"/>
  <c r="AD117" i="36"/>
  <c r="Y117" i="36"/>
  <c r="AC115" i="36"/>
  <c r="AB115" i="36"/>
  <c r="AA115" i="36"/>
  <c r="Z115" i="36"/>
  <c r="X115" i="36"/>
  <c r="W115" i="36"/>
  <c r="V115" i="36"/>
  <c r="U115" i="36"/>
  <c r="AD114" i="36"/>
  <c r="Y114" i="36"/>
  <c r="AD93" i="36"/>
  <c r="Y93" i="36"/>
  <c r="AC92" i="36"/>
  <c r="AB92" i="36"/>
  <c r="AA92" i="36"/>
  <c r="Z92" i="36"/>
  <c r="X92" i="36"/>
  <c r="W92" i="36"/>
  <c r="V92" i="36"/>
  <c r="U92" i="36"/>
  <c r="AC91" i="36"/>
  <c r="AB91" i="36"/>
  <c r="AA91" i="36"/>
  <c r="Z91" i="36"/>
  <c r="X91" i="36"/>
  <c r="W91" i="36"/>
  <c r="V91" i="36"/>
  <c r="U91" i="36"/>
  <c r="AC90" i="36"/>
  <c r="AB90" i="36"/>
  <c r="AA90" i="36"/>
  <c r="Z90" i="36"/>
  <c r="X90" i="36"/>
  <c r="W90" i="36"/>
  <c r="V90" i="36"/>
  <c r="U90" i="36"/>
  <c r="AD88" i="36"/>
  <c r="Y88" i="36"/>
  <c r="Y104" i="36" s="1"/>
  <c r="AD87" i="36"/>
  <c r="Y87" i="36"/>
  <c r="AD86" i="36"/>
  <c r="Y86" i="36"/>
  <c r="AC85" i="36"/>
  <c r="AC89" i="36" s="1"/>
  <c r="AB85" i="36"/>
  <c r="AA85" i="36"/>
  <c r="Z85" i="36"/>
  <c r="Z89" i="36" s="1"/>
  <c r="X85" i="36"/>
  <c r="X89" i="36" s="1"/>
  <c r="W85" i="36"/>
  <c r="V85" i="36"/>
  <c r="V89" i="36" s="1"/>
  <c r="U85" i="36"/>
  <c r="U89" i="36" s="1"/>
  <c r="AD84" i="36"/>
  <c r="Y84" i="36"/>
  <c r="AD83" i="36"/>
  <c r="Y83" i="36"/>
  <c r="AD82" i="36"/>
  <c r="Y82" i="36"/>
  <c r="AD79" i="36"/>
  <c r="Y79" i="36"/>
  <c r="AH273" i="36"/>
  <c r="AI273" i="36" s="1"/>
  <c r="AH271" i="36"/>
  <c r="AM271" i="36"/>
  <c r="AH195" i="36"/>
  <c r="AH192" i="36"/>
  <c r="AH243" i="36" s="1"/>
  <c r="AH191" i="36"/>
  <c r="AH240" i="36" s="1"/>
  <c r="AM195" i="36"/>
  <c r="AM246" i="36" s="1"/>
  <c r="AM192" i="36"/>
  <c r="AM243" i="36" s="1"/>
  <c r="AM191" i="36"/>
  <c r="AM240" i="36" s="1"/>
  <c r="AM221" i="36" s="1"/>
  <c r="AG271" i="36"/>
  <c r="AL271" i="36"/>
  <c r="AG195" i="36"/>
  <c r="AG246" i="36" s="1"/>
  <c r="AG219" i="36" s="1"/>
  <c r="AG192" i="36"/>
  <c r="AG243" i="36" s="1"/>
  <c r="AG191" i="36"/>
  <c r="AG240" i="36" s="1"/>
  <c r="AL195" i="36"/>
  <c r="AL246" i="36" s="1"/>
  <c r="AL192" i="36"/>
  <c r="AL243" i="36" s="1"/>
  <c r="AL191" i="36"/>
  <c r="AL240" i="36" s="1"/>
  <c r="AF271" i="36"/>
  <c r="AK271" i="36"/>
  <c r="AF195" i="36"/>
  <c r="AF246" i="36" s="1"/>
  <c r="AF192" i="36"/>
  <c r="AF243" i="36" s="1"/>
  <c r="AF191" i="36"/>
  <c r="AF240" i="36" s="1"/>
  <c r="AK195" i="36"/>
  <c r="AK246" i="36" s="1"/>
  <c r="AK192" i="36"/>
  <c r="AK243" i="36" s="1"/>
  <c r="AK191" i="36"/>
  <c r="AK240" i="36" s="1"/>
  <c r="AE271" i="36"/>
  <c r="AJ271" i="36"/>
  <c r="AJ257" i="36"/>
  <c r="AN257" i="36" s="1"/>
  <c r="AE195" i="36"/>
  <c r="AE246" i="36" s="1"/>
  <c r="AE192" i="36"/>
  <c r="AE191" i="36"/>
  <c r="AE240" i="36" s="1"/>
  <c r="AJ195" i="36"/>
  <c r="AJ246" i="36" s="1"/>
  <c r="AJ192" i="36"/>
  <c r="AJ243" i="36" s="1"/>
  <c r="AJ191" i="36"/>
  <c r="AN275" i="36"/>
  <c r="AI275" i="36"/>
  <c r="AM274" i="36"/>
  <c r="AL274" i="36"/>
  <c r="AK274" i="36"/>
  <c r="AJ274" i="36"/>
  <c r="AH274" i="36"/>
  <c r="AG274" i="36"/>
  <c r="AF274" i="36"/>
  <c r="AE274" i="36"/>
  <c r="AN273" i="36"/>
  <c r="AN272" i="36"/>
  <c r="AI272" i="36"/>
  <c r="AN270" i="36"/>
  <c r="AI270" i="36"/>
  <c r="AN269" i="36"/>
  <c r="AI269" i="36"/>
  <c r="AN265" i="36"/>
  <c r="AI265" i="36"/>
  <c r="AN264" i="36"/>
  <c r="AI264" i="36"/>
  <c r="AN261" i="36"/>
  <c r="AI261" i="36"/>
  <c r="AI257" i="36"/>
  <c r="AN256" i="36"/>
  <c r="AI256" i="36"/>
  <c r="AN255" i="36"/>
  <c r="AI255" i="36"/>
  <c r="AM184" i="36"/>
  <c r="AM185" i="36" s="1"/>
  <c r="AL184" i="36"/>
  <c r="AL185" i="36" s="1"/>
  <c r="AK184" i="36"/>
  <c r="AK185" i="36" s="1"/>
  <c r="AJ184" i="36"/>
  <c r="AJ185" i="36" s="1"/>
  <c r="AH184" i="36"/>
  <c r="AH185" i="36" s="1"/>
  <c r="AG184" i="36"/>
  <c r="AG185" i="36" s="1"/>
  <c r="AF184" i="36"/>
  <c r="AF185" i="36" s="1"/>
  <c r="AE184" i="36"/>
  <c r="AE185" i="36" s="1"/>
  <c r="AM182" i="36"/>
  <c r="AL182" i="36"/>
  <c r="AK182" i="36"/>
  <c r="AJ182" i="36"/>
  <c r="AH182" i="36"/>
  <c r="AG182" i="36"/>
  <c r="AF182" i="36"/>
  <c r="AE182" i="36"/>
  <c r="AN181" i="36"/>
  <c r="AI181" i="36"/>
  <c r="AM179" i="36"/>
  <c r="AL179" i="36"/>
  <c r="AK179" i="36"/>
  <c r="AJ179" i="36"/>
  <c r="AH179" i="36"/>
  <c r="AG179" i="36"/>
  <c r="AF179" i="36"/>
  <c r="AE179" i="36"/>
  <c r="AN178" i="36"/>
  <c r="AI178" i="36"/>
  <c r="AM176" i="36"/>
  <c r="AL176" i="36"/>
  <c r="AK176" i="36"/>
  <c r="AJ176" i="36"/>
  <c r="AH176" i="36"/>
  <c r="AG176" i="36"/>
  <c r="AF176" i="36"/>
  <c r="AE176" i="36"/>
  <c r="AN175" i="36"/>
  <c r="AI175" i="36"/>
  <c r="AM173" i="36"/>
  <c r="AL173" i="36"/>
  <c r="AK173" i="36"/>
  <c r="AJ173" i="36"/>
  <c r="AH173" i="36"/>
  <c r="AG173" i="36"/>
  <c r="AF173" i="36"/>
  <c r="AE173" i="36"/>
  <c r="AN172" i="36"/>
  <c r="AI172" i="36"/>
  <c r="AM170" i="36"/>
  <c r="AL170" i="36"/>
  <c r="AK170" i="36"/>
  <c r="AJ170" i="36"/>
  <c r="AH170" i="36"/>
  <c r="AG170" i="36"/>
  <c r="AF170" i="36"/>
  <c r="AE170" i="36"/>
  <c r="AN169" i="36"/>
  <c r="AI169" i="36"/>
  <c r="AN148" i="36"/>
  <c r="AI148" i="36"/>
  <c r="AM147" i="36"/>
  <c r="AL147" i="36"/>
  <c r="AK147" i="36"/>
  <c r="AJ147" i="36"/>
  <c r="AH147" i="36"/>
  <c r="AG147" i="36"/>
  <c r="AF147" i="36"/>
  <c r="AE147" i="36"/>
  <c r="AM146" i="36"/>
  <c r="AL146" i="36"/>
  <c r="AK146" i="36"/>
  <c r="AJ146" i="36"/>
  <c r="AH146" i="36"/>
  <c r="AG146" i="36"/>
  <c r="AF146" i="36"/>
  <c r="AE146" i="36"/>
  <c r="AM145" i="36"/>
  <c r="AL145" i="36"/>
  <c r="AK145" i="36"/>
  <c r="AJ145" i="36"/>
  <c r="AH145" i="36"/>
  <c r="AG145" i="36"/>
  <c r="AF145" i="36"/>
  <c r="AE145" i="36"/>
  <c r="AN143" i="36"/>
  <c r="AI143" i="36"/>
  <c r="AN142" i="36"/>
  <c r="AI142" i="36"/>
  <c r="AN141" i="36"/>
  <c r="AI141" i="36"/>
  <c r="AM140" i="36"/>
  <c r="AL140" i="36"/>
  <c r="AK140" i="36"/>
  <c r="AK144" i="36" s="1"/>
  <c r="AJ140" i="36"/>
  <c r="AH140" i="36"/>
  <c r="AH144" i="36" s="1"/>
  <c r="AG140" i="36"/>
  <c r="AF140" i="36"/>
  <c r="AE140" i="36"/>
  <c r="AN139" i="36"/>
  <c r="AN207" i="36" s="1"/>
  <c r="AI139" i="36"/>
  <c r="AI207" i="36" s="1"/>
  <c r="AN138" i="36"/>
  <c r="AI138" i="36"/>
  <c r="AN137" i="36"/>
  <c r="AI137" i="36"/>
  <c r="AM135" i="36"/>
  <c r="AL135" i="36"/>
  <c r="AK135" i="36"/>
  <c r="AJ135" i="36"/>
  <c r="AH135" i="36"/>
  <c r="AG135" i="36"/>
  <c r="AF135" i="36"/>
  <c r="AE135" i="36"/>
  <c r="AN134" i="36"/>
  <c r="AI134" i="36"/>
  <c r="AM129" i="36"/>
  <c r="AM130" i="36" s="1"/>
  <c r="AL129" i="36"/>
  <c r="AL130" i="36" s="1"/>
  <c r="AK129" i="36"/>
  <c r="AK130" i="36" s="1"/>
  <c r="AJ129" i="36"/>
  <c r="AJ130" i="36" s="1"/>
  <c r="AH129" i="36"/>
  <c r="AH130" i="36" s="1"/>
  <c r="AG129" i="36"/>
  <c r="AG130" i="36" s="1"/>
  <c r="AF129" i="36"/>
  <c r="AF130" i="36" s="1"/>
  <c r="AE129" i="36"/>
  <c r="AE130" i="36" s="1"/>
  <c r="AM127" i="36"/>
  <c r="AL127" i="36"/>
  <c r="AK127" i="36"/>
  <c r="AJ127" i="36"/>
  <c r="AH127" i="36"/>
  <c r="AG127" i="36"/>
  <c r="AF127" i="36"/>
  <c r="AE127" i="36"/>
  <c r="AN126" i="36"/>
  <c r="AI126" i="36"/>
  <c r="AM124" i="36"/>
  <c r="AL124" i="36"/>
  <c r="AK124" i="36"/>
  <c r="AJ124" i="36"/>
  <c r="AH124" i="36"/>
  <c r="AG124" i="36"/>
  <c r="AF124" i="36"/>
  <c r="AE124" i="36"/>
  <c r="AN123" i="36"/>
  <c r="AI123" i="36"/>
  <c r="AM121" i="36"/>
  <c r="AL121" i="36"/>
  <c r="AK121" i="36"/>
  <c r="AJ121" i="36"/>
  <c r="AH121" i="36"/>
  <c r="AG121" i="36"/>
  <c r="AF121" i="36"/>
  <c r="AE121" i="36"/>
  <c r="AN120" i="36"/>
  <c r="AI120" i="36"/>
  <c r="AM118" i="36"/>
  <c r="AL118" i="36"/>
  <c r="AK118" i="36"/>
  <c r="AJ118" i="36"/>
  <c r="AH118" i="36"/>
  <c r="AG118" i="36"/>
  <c r="AF118" i="36"/>
  <c r="AE118" i="36"/>
  <c r="AN117" i="36"/>
  <c r="AI117" i="36"/>
  <c r="AM115" i="36"/>
  <c r="AL115" i="36"/>
  <c r="AK115" i="36"/>
  <c r="AJ115" i="36"/>
  <c r="AH115" i="36"/>
  <c r="AG115" i="36"/>
  <c r="AF115" i="36"/>
  <c r="AE115" i="36"/>
  <c r="AN114" i="36"/>
  <c r="AI114" i="36"/>
  <c r="AM104" i="36"/>
  <c r="AL104" i="36"/>
  <c r="AK104" i="36"/>
  <c r="AJ104" i="36"/>
  <c r="AH104" i="36"/>
  <c r="AG104" i="36"/>
  <c r="AF104" i="36"/>
  <c r="AE104" i="36"/>
  <c r="AM103" i="36"/>
  <c r="AL103" i="36"/>
  <c r="AK103" i="36"/>
  <c r="AJ103" i="36"/>
  <c r="AH103" i="36"/>
  <c r="AG103" i="36"/>
  <c r="AF103" i="36"/>
  <c r="AE103" i="36"/>
  <c r="AM102" i="36"/>
  <c r="AL102" i="36"/>
  <c r="AK102" i="36"/>
  <c r="AJ102" i="36"/>
  <c r="AH102" i="36"/>
  <c r="AG102" i="36"/>
  <c r="AF102" i="36"/>
  <c r="AE102" i="36"/>
  <c r="AN93" i="36"/>
  <c r="AI93" i="36"/>
  <c r="AM92" i="36"/>
  <c r="AL92" i="36"/>
  <c r="AK92" i="36"/>
  <c r="AJ92" i="36"/>
  <c r="AH92" i="36"/>
  <c r="AG92" i="36"/>
  <c r="AF92" i="36"/>
  <c r="AE92" i="36"/>
  <c r="AM91" i="36"/>
  <c r="AL91" i="36"/>
  <c r="AK91" i="36"/>
  <c r="AJ91" i="36"/>
  <c r="AH91" i="36"/>
  <c r="AG91" i="36"/>
  <c r="AF91" i="36"/>
  <c r="AE91" i="36"/>
  <c r="AM90" i="36"/>
  <c r="AL90" i="36"/>
  <c r="AK90" i="36"/>
  <c r="AJ90" i="36"/>
  <c r="AH90" i="36"/>
  <c r="AG90" i="36"/>
  <c r="AF90" i="36"/>
  <c r="AE90" i="36"/>
  <c r="AN88" i="36"/>
  <c r="AI88" i="36"/>
  <c r="AN87" i="36"/>
  <c r="AI87" i="36"/>
  <c r="AN86" i="36"/>
  <c r="AI86" i="36"/>
  <c r="AM85" i="36"/>
  <c r="AM89" i="36" s="1"/>
  <c r="AL85" i="36"/>
  <c r="AL89" i="36" s="1"/>
  <c r="AK85" i="36"/>
  <c r="AJ85" i="36"/>
  <c r="AH85" i="36"/>
  <c r="AG85" i="36"/>
  <c r="AG89" i="36" s="1"/>
  <c r="AF85" i="36"/>
  <c r="AE85" i="36"/>
  <c r="AE89" i="36" s="1"/>
  <c r="AN84" i="36"/>
  <c r="AI84" i="36"/>
  <c r="AN83" i="36"/>
  <c r="AI83" i="36"/>
  <c r="AN82" i="36"/>
  <c r="AI82" i="36"/>
  <c r="AM80" i="36"/>
  <c r="AL80" i="36"/>
  <c r="AK80" i="36"/>
  <c r="AJ80" i="36"/>
  <c r="AH80" i="36"/>
  <c r="AG80" i="36"/>
  <c r="AF80" i="36"/>
  <c r="AE80" i="36"/>
  <c r="AN79" i="36"/>
  <c r="AI79" i="36"/>
  <c r="AO135" i="36"/>
  <c r="AO80" i="36"/>
  <c r="AO104" i="36"/>
  <c r="AO103" i="36"/>
  <c r="AO102" i="36"/>
  <c r="AS275" i="36"/>
  <c r="AS273" i="36"/>
  <c r="AS272" i="36"/>
  <c r="AS270" i="36"/>
  <c r="AS269" i="36"/>
  <c r="AS265" i="36"/>
  <c r="AS264" i="36"/>
  <c r="AS261" i="36"/>
  <c r="AS256" i="36"/>
  <c r="AS255" i="36"/>
  <c r="AS181" i="36"/>
  <c r="AS178" i="36"/>
  <c r="AS175" i="36"/>
  <c r="AS172" i="36"/>
  <c r="AS169" i="36"/>
  <c r="AS148" i="36"/>
  <c r="AS143" i="36"/>
  <c r="AS142" i="36"/>
  <c r="AS141" i="36"/>
  <c r="AS139" i="36"/>
  <c r="AS207" i="36" s="1"/>
  <c r="AS138" i="36"/>
  <c r="AS137" i="36"/>
  <c r="AS134" i="36"/>
  <c r="AS126" i="36"/>
  <c r="AS123" i="36"/>
  <c r="AS120" i="36"/>
  <c r="AS117" i="36"/>
  <c r="AS114" i="36"/>
  <c r="AS93" i="36"/>
  <c r="AS88" i="36"/>
  <c r="AS87" i="36"/>
  <c r="AS86" i="36"/>
  <c r="AS84" i="36"/>
  <c r="AS83" i="36"/>
  <c r="AS82" i="36"/>
  <c r="AS79" i="36"/>
  <c r="AX275" i="36"/>
  <c r="AX273" i="36"/>
  <c r="AX272" i="36"/>
  <c r="AX270" i="36"/>
  <c r="AX181" i="36"/>
  <c r="AX178" i="36"/>
  <c r="AX175" i="36"/>
  <c r="AX172" i="36"/>
  <c r="AX169" i="36"/>
  <c r="AX148" i="36"/>
  <c r="AX143" i="36"/>
  <c r="AX142" i="36"/>
  <c r="AX141" i="36"/>
  <c r="AX139" i="36"/>
  <c r="AX207" i="36" s="1"/>
  <c r="AX138" i="36"/>
  <c r="AX137" i="36"/>
  <c r="AX134" i="36"/>
  <c r="AX93" i="36"/>
  <c r="AX88" i="36"/>
  <c r="AX87" i="36"/>
  <c r="AX86" i="36"/>
  <c r="AX84" i="36"/>
  <c r="AX83" i="36"/>
  <c r="AX82" i="36"/>
  <c r="AR271" i="36"/>
  <c r="AW271" i="36"/>
  <c r="AW257" i="36"/>
  <c r="AR195" i="36"/>
  <c r="AR246" i="36" s="1"/>
  <c r="AR192" i="36"/>
  <c r="AR243" i="36" s="1"/>
  <c r="AR191" i="36"/>
  <c r="AR240" i="36" s="1"/>
  <c r="AW195" i="36"/>
  <c r="AW246" i="36" s="1"/>
  <c r="AW192" i="36"/>
  <c r="AW243" i="36" s="1"/>
  <c r="AW191" i="36"/>
  <c r="AR170" i="36"/>
  <c r="AQ271" i="36"/>
  <c r="AV271" i="36"/>
  <c r="AQ257" i="36"/>
  <c r="AS257" i="36" s="1"/>
  <c r="AV257" i="36"/>
  <c r="AQ195" i="36"/>
  <c r="AQ246" i="36" s="1"/>
  <c r="AQ219" i="36" s="1"/>
  <c r="AQ192" i="36"/>
  <c r="AQ243" i="36" s="1"/>
  <c r="AQ191" i="36"/>
  <c r="AQ240" i="36" s="1"/>
  <c r="AV195" i="36"/>
  <c r="BA195" i="36" s="1"/>
  <c r="AV192" i="36"/>
  <c r="AV243" i="36" s="1"/>
  <c r="AV191" i="36"/>
  <c r="AV240" i="36" s="1"/>
  <c r="AU271" i="36"/>
  <c r="AU257" i="36"/>
  <c r="AP195" i="36"/>
  <c r="AP246" i="36" s="1"/>
  <c r="AP192" i="36"/>
  <c r="AP243" i="36" s="1"/>
  <c r="AP191" i="36"/>
  <c r="AP240" i="36" s="1"/>
  <c r="AU195" i="36"/>
  <c r="AZ195" i="36" s="1"/>
  <c r="BE195" i="36" s="1"/>
  <c r="AU192" i="36"/>
  <c r="AU243" i="36" s="1"/>
  <c r="AU191" i="36"/>
  <c r="AU240" i="36" s="1"/>
  <c r="AW92" i="36"/>
  <c r="BB92" i="36" s="1"/>
  <c r="AV92" i="36"/>
  <c r="BA92" i="36" s="1"/>
  <c r="AT92" i="36"/>
  <c r="AY92" i="36" s="1"/>
  <c r="AR92" i="36"/>
  <c r="AQ92" i="36"/>
  <c r="AP92" i="36"/>
  <c r="AO92" i="36"/>
  <c r="AU92" i="36"/>
  <c r="AZ92" i="36" s="1"/>
  <c r="AR274" i="36"/>
  <c r="AR184" i="36"/>
  <c r="AR185" i="36" s="1"/>
  <c r="AR182" i="36"/>
  <c r="AR179" i="36"/>
  <c r="AR176" i="36"/>
  <c r="AR173" i="36"/>
  <c r="AR147" i="36"/>
  <c r="AR146" i="36"/>
  <c r="AR162" i="36" s="1"/>
  <c r="AR145" i="36"/>
  <c r="AR140" i="36"/>
  <c r="AR135" i="36"/>
  <c r="AR129" i="36"/>
  <c r="AR130" i="36" s="1"/>
  <c r="AR127" i="36"/>
  <c r="AR124" i="36"/>
  <c r="AR121" i="36"/>
  <c r="AR118" i="36"/>
  <c r="AR115" i="36"/>
  <c r="AR104" i="36"/>
  <c r="AR103" i="36"/>
  <c r="AR102" i="36"/>
  <c r="AR91" i="36"/>
  <c r="AR90" i="36"/>
  <c r="AR85" i="36"/>
  <c r="AR89" i="36" s="1"/>
  <c r="AR80" i="36"/>
  <c r="AQ274" i="36"/>
  <c r="AQ184" i="36"/>
  <c r="AQ185" i="36" s="1"/>
  <c r="AQ182" i="36"/>
  <c r="AQ179" i="36"/>
  <c r="AQ176" i="36"/>
  <c r="AQ173" i="36"/>
  <c r="AQ170" i="36"/>
  <c r="AQ147" i="36"/>
  <c r="AQ146" i="36"/>
  <c r="AQ145" i="36"/>
  <c r="AQ140" i="36"/>
  <c r="AQ135" i="36"/>
  <c r="AQ129" i="36"/>
  <c r="AQ130" i="36" s="1"/>
  <c r="AQ127" i="36"/>
  <c r="AQ124" i="36"/>
  <c r="AQ121" i="36"/>
  <c r="AQ118" i="36"/>
  <c r="AQ115" i="36"/>
  <c r="AQ104" i="36"/>
  <c r="AQ103" i="36"/>
  <c r="AQ102" i="36"/>
  <c r="AQ91" i="36"/>
  <c r="AQ90" i="36"/>
  <c r="AQ85" i="36"/>
  <c r="AQ89" i="36" s="1"/>
  <c r="AQ80" i="36"/>
  <c r="AP274" i="36"/>
  <c r="AP276" i="36" s="1"/>
  <c r="AP184" i="36"/>
  <c r="AP185" i="36" s="1"/>
  <c r="AP182" i="36"/>
  <c r="AP179" i="36"/>
  <c r="AP176" i="36"/>
  <c r="AP173" i="36"/>
  <c r="AP170" i="36"/>
  <c r="AP147" i="36"/>
  <c r="AP146" i="36"/>
  <c r="AP162" i="36" s="1"/>
  <c r="AP145" i="36"/>
  <c r="AP140" i="36"/>
  <c r="AP135" i="36"/>
  <c r="AP129" i="36"/>
  <c r="AP130" i="36" s="1"/>
  <c r="AP127" i="36"/>
  <c r="AP124" i="36"/>
  <c r="AP121" i="36"/>
  <c r="AP118" i="36"/>
  <c r="AP115" i="36"/>
  <c r="AP104" i="36"/>
  <c r="AP103" i="36"/>
  <c r="AP102" i="36"/>
  <c r="AP91" i="36"/>
  <c r="AP90" i="36"/>
  <c r="AP85" i="36"/>
  <c r="AP89" i="36" s="1"/>
  <c r="AP80" i="36"/>
  <c r="AW274" i="36"/>
  <c r="AV274" i="36"/>
  <c r="AU274" i="36"/>
  <c r="AW184" i="36"/>
  <c r="AW185" i="36" s="1"/>
  <c r="AV184" i="36"/>
  <c r="AV185" i="36" s="1"/>
  <c r="AU184" i="36"/>
  <c r="AU185" i="36" s="1"/>
  <c r="AW182" i="36"/>
  <c r="AV182" i="36"/>
  <c r="AU182" i="36"/>
  <c r="AW179" i="36"/>
  <c r="AV179" i="36"/>
  <c r="AU179" i="36"/>
  <c r="AW176" i="36"/>
  <c r="AV176" i="36"/>
  <c r="AU176" i="36"/>
  <c r="AW173" i="36"/>
  <c r="AV173" i="36"/>
  <c r="AU173" i="36"/>
  <c r="AW170" i="36"/>
  <c r="AV170" i="36"/>
  <c r="AU170" i="36"/>
  <c r="AW147" i="36"/>
  <c r="AV147" i="36"/>
  <c r="AU147" i="36"/>
  <c r="AZ147" i="36" s="1"/>
  <c r="BE147" i="36" s="1"/>
  <c r="AW146" i="36"/>
  <c r="AV146" i="36"/>
  <c r="AU146" i="36"/>
  <c r="AW145" i="36"/>
  <c r="AV145" i="36"/>
  <c r="BA145" i="36" s="1"/>
  <c r="BF145" i="36" s="1"/>
  <c r="AU145" i="36"/>
  <c r="AW140" i="36"/>
  <c r="AW144" i="36" s="1"/>
  <c r="BB144" i="36" s="1"/>
  <c r="AV140" i="36"/>
  <c r="AU140" i="36"/>
  <c r="AW135" i="36"/>
  <c r="AV135" i="36"/>
  <c r="AU135" i="36"/>
  <c r="AW129" i="36"/>
  <c r="AW130" i="36" s="1"/>
  <c r="AV129" i="36"/>
  <c r="AV130" i="36" s="1"/>
  <c r="AU129" i="36"/>
  <c r="AU130" i="36" s="1"/>
  <c r="AW127" i="36"/>
  <c r="AV127" i="36"/>
  <c r="AU127" i="36"/>
  <c r="AW124" i="36"/>
  <c r="AV124" i="36"/>
  <c r="AU124" i="36"/>
  <c r="AW121" i="36"/>
  <c r="AV121" i="36"/>
  <c r="AU121" i="36"/>
  <c r="AW118" i="36"/>
  <c r="AV118" i="36"/>
  <c r="AU118" i="36"/>
  <c r="AW115" i="36"/>
  <c r="AV115" i="36"/>
  <c r="AU115" i="36"/>
  <c r="AW104" i="36"/>
  <c r="AV104" i="36"/>
  <c r="AU104" i="36"/>
  <c r="AW103" i="36"/>
  <c r="AV103" i="36"/>
  <c r="AU103" i="36"/>
  <c r="AW102" i="36"/>
  <c r="AV102" i="36"/>
  <c r="AU102" i="36"/>
  <c r="AW91" i="36"/>
  <c r="AV91" i="36"/>
  <c r="AU91" i="36"/>
  <c r="AW90" i="36"/>
  <c r="BB90" i="36" s="1"/>
  <c r="AV90" i="36"/>
  <c r="BA90" i="36" s="1"/>
  <c r="AU90" i="36"/>
  <c r="AZ90" i="36" s="1"/>
  <c r="BE90" i="36" s="1"/>
  <c r="AW85" i="36"/>
  <c r="AW89" i="36" s="1"/>
  <c r="BB89" i="36" s="1"/>
  <c r="AV85" i="36"/>
  <c r="AV89" i="36" s="1"/>
  <c r="BA89" i="36" s="1"/>
  <c r="AU85" i="36"/>
  <c r="AU89" i="36" s="1"/>
  <c r="AZ89" i="36" s="1"/>
  <c r="AW80" i="36"/>
  <c r="AV80" i="36"/>
  <c r="AU80" i="36"/>
  <c r="AO147" i="36"/>
  <c r="AT147" i="36"/>
  <c r="AY147" i="36" s="1"/>
  <c r="BD147" i="36" s="1"/>
  <c r="AT146" i="36"/>
  <c r="AO146" i="36"/>
  <c r="AT145" i="36"/>
  <c r="AO145" i="36"/>
  <c r="AO90" i="36"/>
  <c r="AO91" i="36"/>
  <c r="AT91" i="36"/>
  <c r="AT90" i="36"/>
  <c r="AY90" i="36" s="1"/>
  <c r="BD90" i="36" s="1"/>
  <c r="AT140" i="36"/>
  <c r="AT144" i="36" s="1"/>
  <c r="AY144" i="36" s="1"/>
  <c r="AO140" i="36"/>
  <c r="AO144" i="36" s="1"/>
  <c r="AT104" i="36"/>
  <c r="AT103" i="36"/>
  <c r="AT102" i="36"/>
  <c r="AO85" i="36"/>
  <c r="AO89" i="36" s="1"/>
  <c r="AT85" i="36"/>
  <c r="AO274" i="36"/>
  <c r="AT274" i="36"/>
  <c r="AO191" i="36"/>
  <c r="AT191" i="36"/>
  <c r="AY191" i="36" s="1"/>
  <c r="BD191" i="36" s="1"/>
  <c r="AO192" i="36"/>
  <c r="AO243" i="36" s="1"/>
  <c r="AT192" i="36"/>
  <c r="AY192" i="36" s="1"/>
  <c r="AO195" i="36"/>
  <c r="AO246" i="36" s="1"/>
  <c r="AO129" i="36"/>
  <c r="AT129" i="36"/>
  <c r="AO184" i="36"/>
  <c r="AO185" i="36" s="1"/>
  <c r="AT184" i="36"/>
  <c r="AT185" i="36" s="1"/>
  <c r="AT195" i="36"/>
  <c r="AT246" i="36" s="1"/>
  <c r="AT182" i="36"/>
  <c r="AO182" i="36"/>
  <c r="AT179" i="36"/>
  <c r="AO179" i="36"/>
  <c r="AT176" i="36"/>
  <c r="AO176" i="36"/>
  <c r="AT173" i="36"/>
  <c r="AO173" i="36"/>
  <c r="AT170" i="36"/>
  <c r="AO170" i="36"/>
  <c r="AT135" i="36"/>
  <c r="AO127" i="36"/>
  <c r="AT127" i="36"/>
  <c r="AX126" i="36"/>
  <c r="AX123" i="36"/>
  <c r="AT80" i="36"/>
  <c r="AX79" i="36"/>
  <c r="AR29" i="36"/>
  <c r="AR37" i="36" s="1"/>
  <c r="AT29" i="36"/>
  <c r="AT37" i="36" s="1"/>
  <c r="AS30" i="36"/>
  <c r="R47" i="36"/>
  <c r="R37" i="36"/>
  <c r="R17" i="36"/>
  <c r="R12" i="36"/>
  <c r="R415" i="36"/>
  <c r="S415" i="36"/>
  <c r="R392" i="36"/>
  <c r="S392" i="36"/>
  <c r="R381" i="36"/>
  <c r="R421" i="36" s="1"/>
  <c r="S381" i="36"/>
  <c r="S421" i="36" s="1"/>
  <c r="S47" i="36"/>
  <c r="S37" i="36"/>
  <c r="S17" i="36"/>
  <c r="S12" i="36"/>
  <c r="T47" i="36"/>
  <c r="T37" i="36"/>
  <c r="T17" i="36"/>
  <c r="T12" i="36"/>
  <c r="X407" i="36"/>
  <c r="W415" i="36"/>
  <c r="X378" i="36"/>
  <c r="X370" i="36"/>
  <c r="X362" i="36"/>
  <c r="X409" i="36"/>
  <c r="X408" i="36"/>
  <c r="X401" i="36"/>
  <c r="X400" i="36"/>
  <c r="X390" i="36"/>
  <c r="X389" i="36"/>
  <c r="V392" i="36"/>
  <c r="X380" i="36"/>
  <c r="X379" i="36"/>
  <c r="X372" i="36"/>
  <c r="X371" i="36"/>
  <c r="X364" i="36"/>
  <c r="X363" i="36"/>
  <c r="X356" i="36"/>
  <c r="X355" i="36"/>
  <c r="Y46" i="36"/>
  <c r="Y36" i="36"/>
  <c r="Y35" i="36"/>
  <c r="Y22" i="36"/>
  <c r="X47" i="36"/>
  <c r="X37" i="36"/>
  <c r="X17" i="36"/>
  <c r="Y17" i="36" s="1"/>
  <c r="X12" i="36"/>
  <c r="AV47" i="36"/>
  <c r="AU47" i="36"/>
  <c r="AT47" i="36"/>
  <c r="AR47" i="36"/>
  <c r="AQ47" i="36"/>
  <c r="AP47" i="36"/>
  <c r="AO47" i="36"/>
  <c r="AM47" i="36"/>
  <c r="AL47" i="36"/>
  <c r="AK47" i="36"/>
  <c r="AJ47" i="36"/>
  <c r="AH47" i="36"/>
  <c r="AG47" i="36"/>
  <c r="AF47" i="36"/>
  <c r="AE47" i="36"/>
  <c r="AC47" i="36"/>
  <c r="AB47" i="36"/>
  <c r="AA47" i="36"/>
  <c r="Z47" i="36"/>
  <c r="W47" i="36"/>
  <c r="V47" i="36"/>
  <c r="U47" i="36"/>
  <c r="AV37" i="36"/>
  <c r="AU37" i="36"/>
  <c r="AQ37" i="36"/>
  <c r="AP37" i="36"/>
  <c r="AO37" i="36"/>
  <c r="AM37" i="36"/>
  <c r="AL37" i="36"/>
  <c r="AK37" i="36"/>
  <c r="AJ37" i="36"/>
  <c r="AH37" i="36"/>
  <c r="AG37" i="36"/>
  <c r="AF37" i="36"/>
  <c r="AE37" i="36"/>
  <c r="AC37" i="36"/>
  <c r="AB37" i="36"/>
  <c r="AA37" i="36"/>
  <c r="Z37" i="36"/>
  <c r="W37" i="36"/>
  <c r="V37" i="36"/>
  <c r="U37" i="36"/>
  <c r="Y45" i="36"/>
  <c r="Y44" i="36"/>
  <c r="Y43" i="36"/>
  <c r="Y42" i="36"/>
  <c r="Y41" i="36"/>
  <c r="Y40" i="36"/>
  <c r="Y34" i="36"/>
  <c r="Y33" i="36"/>
  <c r="Y32" i="36"/>
  <c r="Y31" i="36"/>
  <c r="Y29" i="36"/>
  <c r="Y28" i="36"/>
  <c r="Y27" i="36"/>
  <c r="Y26" i="36"/>
  <c r="Y21" i="36"/>
  <c r="Y20" i="36"/>
  <c r="Y19" i="36"/>
  <c r="Y18" i="36"/>
  <c r="Y16" i="36"/>
  <c r="Y15" i="36"/>
  <c r="Y11" i="36"/>
  <c r="Y10" i="36"/>
  <c r="Y9" i="36"/>
  <c r="Y8" i="36"/>
  <c r="Y7" i="36"/>
  <c r="W17" i="36"/>
  <c r="V17" i="36"/>
  <c r="U17" i="36"/>
  <c r="W12" i="36"/>
  <c r="V12" i="36"/>
  <c r="U12" i="36"/>
  <c r="X414" i="36"/>
  <c r="X413" i="36"/>
  <c r="X412" i="36"/>
  <c r="X411" i="36"/>
  <c r="X410" i="36"/>
  <c r="X406" i="36"/>
  <c r="X405" i="36"/>
  <c r="X404" i="36"/>
  <c r="X403" i="36"/>
  <c r="X402" i="36"/>
  <c r="X398" i="36"/>
  <c r="X397" i="36"/>
  <c r="X396" i="36"/>
  <c r="X395" i="36"/>
  <c r="X391" i="36"/>
  <c r="X387" i="36"/>
  <c r="X386" i="36"/>
  <c r="X385" i="36"/>
  <c r="X384" i="36"/>
  <c r="X383" i="36"/>
  <c r="X377" i="36"/>
  <c r="X376" i="36"/>
  <c r="X375" i="36"/>
  <c r="X374" i="36"/>
  <c r="X373" i="36"/>
  <c r="X369" i="36"/>
  <c r="X368" i="36"/>
  <c r="X367" i="36"/>
  <c r="X366" i="36"/>
  <c r="X365" i="36"/>
  <c r="X361" i="36"/>
  <c r="X360" i="36"/>
  <c r="X359" i="36"/>
  <c r="X358" i="36"/>
  <c r="X357" i="36"/>
  <c r="AC414" i="36"/>
  <c r="AC413" i="36"/>
  <c r="AC412" i="36"/>
  <c r="AC411" i="36"/>
  <c r="AC410" i="36"/>
  <c r="AC409" i="36"/>
  <c r="AC408" i="36"/>
  <c r="AC407" i="36"/>
  <c r="AC406" i="36"/>
  <c r="AC405" i="36"/>
  <c r="AC404" i="36"/>
  <c r="AC403" i="36"/>
  <c r="AC402" i="36"/>
  <c r="AC401" i="36"/>
  <c r="AC400" i="36"/>
  <c r="AC399" i="36"/>
  <c r="AC398" i="36"/>
  <c r="AC397" i="36"/>
  <c r="AC396" i="36"/>
  <c r="AC395" i="36"/>
  <c r="AC391" i="36"/>
  <c r="AC390" i="36"/>
  <c r="AC389" i="36"/>
  <c r="AC388" i="36"/>
  <c r="AC387" i="36"/>
  <c r="AC386" i="36"/>
  <c r="AC385" i="36"/>
  <c r="AC384" i="36"/>
  <c r="AC383" i="36"/>
  <c r="AC380" i="36"/>
  <c r="AC379" i="36"/>
  <c r="AC378" i="36"/>
  <c r="AC377" i="36"/>
  <c r="AC376" i="36"/>
  <c r="AC375" i="36"/>
  <c r="AC374" i="36"/>
  <c r="AC373" i="36"/>
  <c r="AC372" i="36"/>
  <c r="AC371" i="36"/>
  <c r="AC370" i="36"/>
  <c r="AC369" i="36"/>
  <c r="AC368" i="36"/>
  <c r="AC367" i="36"/>
  <c r="AC366" i="36"/>
  <c r="AC365" i="36"/>
  <c r="AC364" i="36"/>
  <c r="AC363" i="36"/>
  <c r="AC362" i="36"/>
  <c r="AC361" i="36"/>
  <c r="AC360" i="36"/>
  <c r="AC359" i="36"/>
  <c r="AC358" i="36"/>
  <c r="AC357" i="36"/>
  <c r="AC356" i="36"/>
  <c r="AC355" i="36"/>
  <c r="AH414" i="36"/>
  <c r="AH413" i="36"/>
  <c r="AH412" i="36"/>
  <c r="AH411" i="36"/>
  <c r="AH410" i="36"/>
  <c r="AH409" i="36"/>
  <c r="AH408" i="36"/>
  <c r="AH407" i="36"/>
  <c r="AH406" i="36"/>
  <c r="AH405" i="36"/>
  <c r="AH404" i="36"/>
  <c r="AH403" i="36"/>
  <c r="AH402" i="36"/>
  <c r="AH401" i="36"/>
  <c r="AH400" i="36"/>
  <c r="AH399" i="36"/>
  <c r="AH398" i="36"/>
  <c r="AH397" i="36"/>
  <c r="AH396" i="36"/>
  <c r="AH395" i="36"/>
  <c r="AH391" i="36"/>
  <c r="AH390" i="36"/>
  <c r="AH389" i="36"/>
  <c r="AH388" i="36"/>
  <c r="AH387" i="36"/>
  <c r="AH386" i="36"/>
  <c r="AH385" i="36"/>
  <c r="AH384" i="36"/>
  <c r="AH383" i="36"/>
  <c r="AH380" i="36"/>
  <c r="AH379" i="36"/>
  <c r="AH378" i="36"/>
  <c r="AH377" i="36"/>
  <c r="AH376" i="36"/>
  <c r="AH375" i="36"/>
  <c r="AH374" i="36"/>
  <c r="AH373" i="36"/>
  <c r="AH372" i="36"/>
  <c r="AH371" i="36"/>
  <c r="AH370" i="36"/>
  <c r="AH369" i="36"/>
  <c r="AH368" i="36"/>
  <c r="AH367" i="36"/>
  <c r="AH366" i="36"/>
  <c r="AH365" i="36"/>
  <c r="AH364" i="36"/>
  <c r="AH363" i="36"/>
  <c r="AH362" i="36"/>
  <c r="AH361" i="36"/>
  <c r="AH360" i="36"/>
  <c r="AH359" i="36"/>
  <c r="AH358" i="36"/>
  <c r="AH357" i="36"/>
  <c r="AH356" i="36"/>
  <c r="AH355" i="36"/>
  <c r="AM413" i="36"/>
  <c r="AM412" i="36"/>
  <c r="AM411" i="36"/>
  <c r="AM410" i="36"/>
  <c r="AM409" i="36"/>
  <c r="AM408" i="36"/>
  <c r="AM407" i="36"/>
  <c r="AM406" i="36"/>
  <c r="AM405" i="36"/>
  <c r="AM404" i="36"/>
  <c r="AM403" i="36"/>
  <c r="AM402" i="36"/>
  <c r="AM401" i="36"/>
  <c r="AM400" i="36"/>
  <c r="AM399" i="36"/>
  <c r="AM398" i="36"/>
  <c r="AM397" i="36"/>
  <c r="AM396" i="36"/>
  <c r="AM395" i="36"/>
  <c r="AM390" i="36"/>
  <c r="AM389" i="36"/>
  <c r="AM388" i="36"/>
  <c r="AM387" i="36"/>
  <c r="AM386" i="36"/>
  <c r="AM385" i="36"/>
  <c r="AM384" i="36"/>
  <c r="AM383" i="36"/>
  <c r="AM379" i="36"/>
  <c r="AM378" i="36"/>
  <c r="AM377" i="36"/>
  <c r="AM376" i="36"/>
  <c r="AM375" i="36"/>
  <c r="AM374" i="36"/>
  <c r="AM373" i="36"/>
  <c r="AM372" i="36"/>
  <c r="AM371" i="36"/>
  <c r="AM370" i="36"/>
  <c r="AM369" i="36"/>
  <c r="AM368" i="36"/>
  <c r="AM367" i="36"/>
  <c r="AM366" i="36"/>
  <c r="AM365" i="36"/>
  <c r="AM364" i="36"/>
  <c r="AM363" i="36"/>
  <c r="AM362" i="36"/>
  <c r="AM361" i="36"/>
  <c r="AM360" i="36"/>
  <c r="AM359" i="36"/>
  <c r="AM358" i="36"/>
  <c r="AM357" i="36"/>
  <c r="AM356" i="36"/>
  <c r="AI381" i="36"/>
  <c r="AI421" i="36" s="1"/>
  <c r="AB415" i="36"/>
  <c r="AG415" i="36"/>
  <c r="AA415" i="36"/>
  <c r="AF415" i="36"/>
  <c r="U392" i="36"/>
  <c r="Z392" i="36"/>
  <c r="AE392" i="36"/>
  <c r="AC17" i="36"/>
  <c r="AD17" i="36" s="1"/>
  <c r="AC12" i="36"/>
  <c r="AD45" i="36"/>
  <c r="AD44" i="36"/>
  <c r="AD43" i="36"/>
  <c r="AD42" i="36"/>
  <c r="AD41" i="36"/>
  <c r="AD40" i="36"/>
  <c r="AD34" i="36"/>
  <c r="AD33" i="36"/>
  <c r="AD32" i="36"/>
  <c r="AD31" i="36"/>
  <c r="AD29" i="36"/>
  <c r="AD28" i="36"/>
  <c r="AD27" i="36"/>
  <c r="AD26" i="36"/>
  <c r="AD21" i="36"/>
  <c r="AD20" i="36"/>
  <c r="AD19" i="36"/>
  <c r="AD18" i="36"/>
  <c r="AD16" i="36"/>
  <c r="AD15" i="36"/>
  <c r="AD11" i="36"/>
  <c r="AD10" i="36"/>
  <c r="AD9" i="36"/>
  <c r="AD8" i="36"/>
  <c r="AD7" i="36"/>
  <c r="AI45" i="36"/>
  <c r="AI44" i="36"/>
  <c r="AI43" i="36"/>
  <c r="AI42" i="36"/>
  <c r="AI41" i="36"/>
  <c r="AI40" i="36"/>
  <c r="AI34" i="36"/>
  <c r="AI33" i="36"/>
  <c r="AI32" i="36"/>
  <c r="AI31" i="36"/>
  <c r="AI29" i="36"/>
  <c r="AI28" i="36"/>
  <c r="AI27" i="36"/>
  <c r="AI26" i="36"/>
  <c r="AI21" i="36"/>
  <c r="AI20" i="36"/>
  <c r="AI19" i="36"/>
  <c r="AI18" i="36"/>
  <c r="AI16" i="36"/>
  <c r="AI15" i="36"/>
  <c r="AI11" i="36"/>
  <c r="AI10" i="36"/>
  <c r="AI9" i="36"/>
  <c r="AI8" i="36"/>
  <c r="AI7" i="36"/>
  <c r="AB17" i="36"/>
  <c r="AA17" i="36"/>
  <c r="Z17" i="36"/>
  <c r="AB12" i="36"/>
  <c r="AA12" i="36"/>
  <c r="Z12" i="36"/>
  <c r="AH17" i="36"/>
  <c r="AI17" i="36" s="1"/>
  <c r="AG17" i="36"/>
  <c r="AF17" i="36"/>
  <c r="AE17" i="36"/>
  <c r="AH12" i="36"/>
  <c r="AG12" i="36"/>
  <c r="AF12" i="36"/>
  <c r="AE12" i="36"/>
  <c r="AL415" i="36"/>
  <c r="AK415" i="36"/>
  <c r="AM391" i="36"/>
  <c r="AM380" i="36"/>
  <c r="AM17" i="36"/>
  <c r="AN17" i="36" s="1"/>
  <c r="AM12" i="36"/>
  <c r="AN45" i="36"/>
  <c r="AN44" i="36"/>
  <c r="AN43" i="36"/>
  <c r="AN42" i="36"/>
  <c r="AN41" i="36"/>
  <c r="AN40" i="36"/>
  <c r="AN34" i="36"/>
  <c r="AN33" i="36"/>
  <c r="AN32" i="36"/>
  <c r="AN31" i="36"/>
  <c r="AN29" i="36"/>
  <c r="I62" i="16" s="1"/>
  <c r="AN28" i="36"/>
  <c r="AN27" i="36"/>
  <c r="AN26" i="36"/>
  <c r="AN21" i="36"/>
  <c r="AN20" i="36"/>
  <c r="AN19" i="36"/>
  <c r="AN18" i="36"/>
  <c r="AN16" i="36"/>
  <c r="AN15" i="36"/>
  <c r="AN11" i="36"/>
  <c r="AN10" i="36"/>
  <c r="AN9" i="36"/>
  <c r="AN8" i="36"/>
  <c r="AN7" i="36"/>
  <c r="AL17" i="36"/>
  <c r="AK17" i="36"/>
  <c r="AJ17" i="36"/>
  <c r="AL12" i="36"/>
  <c r="AK12" i="36"/>
  <c r="AJ12" i="36"/>
  <c r="AM414" i="36"/>
  <c r="AM355" i="36"/>
  <c r="AR414" i="36"/>
  <c r="AR413" i="36"/>
  <c r="AR412" i="36"/>
  <c r="AR410" i="36"/>
  <c r="AR408" i="36"/>
  <c r="AR399" i="36"/>
  <c r="AR398" i="36"/>
  <c r="AR397" i="36"/>
  <c r="AR396" i="36"/>
  <c r="AR395" i="36"/>
  <c r="AR391" i="36"/>
  <c r="AR386" i="36"/>
  <c r="AR385" i="36"/>
  <c r="AR384" i="36"/>
  <c r="AR383" i="36"/>
  <c r="AR380" i="36"/>
  <c r="AR379" i="36"/>
  <c r="AR378" i="36"/>
  <c r="AR377" i="36"/>
  <c r="AR376" i="36"/>
  <c r="AR375" i="36"/>
  <c r="AR374" i="36"/>
  <c r="AR373" i="36"/>
  <c r="AR372" i="36"/>
  <c r="AR371" i="36"/>
  <c r="AR370" i="36"/>
  <c r="AR369" i="36"/>
  <c r="AR365" i="36"/>
  <c r="AR364" i="36"/>
  <c r="AR363" i="36"/>
  <c r="AR362" i="36"/>
  <c r="AR361" i="36"/>
  <c r="AR359" i="36"/>
  <c r="AR358" i="36"/>
  <c r="AR357" i="36"/>
  <c r="AR356" i="36"/>
  <c r="AR355" i="36"/>
  <c r="AW414" i="36"/>
  <c r="AW413" i="36"/>
  <c r="AW412" i="36"/>
  <c r="AW410" i="36"/>
  <c r="AW408" i="36"/>
  <c r="AW399" i="36"/>
  <c r="AW398" i="36"/>
  <c r="AW397" i="36"/>
  <c r="AW396" i="36"/>
  <c r="AW395" i="36"/>
  <c r="AW391" i="36"/>
  <c r="AW386" i="36"/>
  <c r="AW385" i="36"/>
  <c r="AW384" i="36"/>
  <c r="AW383" i="36"/>
  <c r="AW380" i="36"/>
  <c r="AW379" i="36"/>
  <c r="AW378" i="36"/>
  <c r="AW377" i="36"/>
  <c r="AW376" i="36"/>
  <c r="AW375" i="36"/>
  <c r="AW374" i="36"/>
  <c r="AW373" i="36"/>
  <c r="AW372" i="36"/>
  <c r="AW371" i="36"/>
  <c r="AW370" i="36"/>
  <c r="AW369" i="36"/>
  <c r="AW365" i="36"/>
  <c r="AW364" i="36"/>
  <c r="AW363" i="36"/>
  <c r="AW362" i="36"/>
  <c r="AW361" i="36"/>
  <c r="AW359" i="36"/>
  <c r="AW358" i="36"/>
  <c r="AW357" i="36"/>
  <c r="AW356" i="36"/>
  <c r="AX44" i="36"/>
  <c r="AX43" i="36"/>
  <c r="AY43" i="36" s="1"/>
  <c r="AZ43" i="36" s="1"/>
  <c r="BA43" i="36" s="1"/>
  <c r="BB43" i="36" s="1"/>
  <c r="BC43" i="36" s="1"/>
  <c r="BD43" i="36" s="1"/>
  <c r="BE43" i="36" s="1"/>
  <c r="BF43" i="36" s="1"/>
  <c r="BG43" i="36" s="1"/>
  <c r="BH43" i="36" s="1"/>
  <c r="BI43" i="36" s="1"/>
  <c r="BJ43" i="36" s="1"/>
  <c r="BK43" i="36" s="1"/>
  <c r="BL43" i="36" s="1"/>
  <c r="AX42" i="36"/>
  <c r="AY42" i="36" s="1"/>
  <c r="AZ42" i="36" s="1"/>
  <c r="BA42" i="36" s="1"/>
  <c r="BB42" i="36" s="1"/>
  <c r="BC42" i="36" s="1"/>
  <c r="BD42" i="36" s="1"/>
  <c r="BE42" i="36" s="1"/>
  <c r="BF42" i="36" s="1"/>
  <c r="BG42" i="36" s="1"/>
  <c r="BH42" i="36" s="1"/>
  <c r="BI42" i="36" s="1"/>
  <c r="BJ42" i="36" s="1"/>
  <c r="BK42" i="36" s="1"/>
  <c r="BL42" i="36" s="1"/>
  <c r="AX41" i="36"/>
  <c r="AY41" i="36" s="1"/>
  <c r="AZ41" i="36" s="1"/>
  <c r="BA41" i="36" s="1"/>
  <c r="BB41" i="36" s="1"/>
  <c r="BC41" i="36" s="1"/>
  <c r="BD41" i="36" s="1"/>
  <c r="BE41" i="36" s="1"/>
  <c r="BF41" i="36" s="1"/>
  <c r="BG41" i="36" s="1"/>
  <c r="BH41" i="36" s="1"/>
  <c r="BI41" i="36" s="1"/>
  <c r="BJ41" i="36" s="1"/>
  <c r="BK41" i="36" s="1"/>
  <c r="BL41" i="36" s="1"/>
  <c r="AX40" i="36"/>
  <c r="AX34" i="36"/>
  <c r="AX33" i="36"/>
  <c r="AX32" i="36"/>
  <c r="AX31" i="36"/>
  <c r="AX29" i="36"/>
  <c r="AX28" i="36"/>
  <c r="AX27" i="36"/>
  <c r="AX26" i="36"/>
  <c r="AX21" i="36"/>
  <c r="AY21" i="36" s="1"/>
  <c r="AZ21" i="36" s="1"/>
  <c r="BA21" i="36" s="1"/>
  <c r="BB21" i="36" s="1"/>
  <c r="BC21" i="36" s="1"/>
  <c r="BD21" i="36" s="1"/>
  <c r="BE21" i="36" s="1"/>
  <c r="BF21" i="36" s="1"/>
  <c r="BG21" i="36" s="1"/>
  <c r="AX20" i="36"/>
  <c r="AY20" i="36" s="1"/>
  <c r="AZ20" i="36" s="1"/>
  <c r="BA20" i="36" s="1"/>
  <c r="BB20" i="36" s="1"/>
  <c r="BC20" i="36" s="1"/>
  <c r="BD20" i="36" s="1"/>
  <c r="BE20" i="36" s="1"/>
  <c r="BF20" i="36" s="1"/>
  <c r="BG20" i="36" s="1"/>
  <c r="BH20" i="36" s="1"/>
  <c r="BI20" i="36" s="1"/>
  <c r="BJ20" i="36" s="1"/>
  <c r="BK20" i="36" s="1"/>
  <c r="BL20" i="36" s="1"/>
  <c r="AX19" i="36"/>
  <c r="AY19" i="36" s="1"/>
  <c r="AZ19" i="36" s="1"/>
  <c r="BA19" i="36" s="1"/>
  <c r="BB19" i="36" s="1"/>
  <c r="BC19" i="36" s="1"/>
  <c r="BD19" i="36" s="1"/>
  <c r="BE19" i="36" s="1"/>
  <c r="BF19" i="36" s="1"/>
  <c r="BG19" i="36" s="1"/>
  <c r="BH19" i="36" s="1"/>
  <c r="BI19" i="36" s="1"/>
  <c r="BJ19" i="36" s="1"/>
  <c r="BK19" i="36" s="1"/>
  <c r="BL19" i="36" s="1"/>
  <c r="AX18" i="36"/>
  <c r="AX16" i="36"/>
  <c r="AX15" i="36"/>
  <c r="AX11" i="36"/>
  <c r="AX10" i="36"/>
  <c r="AX9" i="36"/>
  <c r="AX8" i="36"/>
  <c r="AX7" i="36"/>
  <c r="E103" i="16" s="1"/>
  <c r="AW17" i="36"/>
  <c r="AX17" i="36" s="1"/>
  <c r="AW12" i="36"/>
  <c r="AV17" i="36"/>
  <c r="AV12" i="36"/>
  <c r="AU415" i="36"/>
  <c r="AP415" i="36"/>
  <c r="AU392" i="36"/>
  <c r="AU17" i="36"/>
  <c r="AU12" i="36"/>
  <c r="AX415" i="36"/>
  <c r="AS415" i="36"/>
  <c r="AQ415" i="36"/>
  <c r="AO415" i="36"/>
  <c r="AN415" i="36"/>
  <c r="AJ415" i="36"/>
  <c r="AI415" i="36"/>
  <c r="AE415" i="36"/>
  <c r="AD415" i="36"/>
  <c r="Z415" i="36"/>
  <c r="Y415" i="36"/>
  <c r="U415" i="36"/>
  <c r="T415" i="36"/>
  <c r="AT415" i="36"/>
  <c r="AT392" i="36"/>
  <c r="AS11" i="36"/>
  <c r="AS10" i="36"/>
  <c r="AS20" i="36"/>
  <c r="AS19" i="36"/>
  <c r="AS45" i="36"/>
  <c r="AS44" i="36"/>
  <c r="AS43" i="36"/>
  <c r="AS42" i="36"/>
  <c r="AS41" i="36"/>
  <c r="AR17" i="36"/>
  <c r="AQ17" i="36"/>
  <c r="AP17" i="36"/>
  <c r="AO17" i="36"/>
  <c r="AR12" i="36"/>
  <c r="AQ12" i="36"/>
  <c r="AP12" i="36"/>
  <c r="AO12" i="36"/>
  <c r="AT17" i="36"/>
  <c r="E92" i="16"/>
  <c r="N92" i="16" s="1"/>
  <c r="E90" i="16"/>
  <c r="K7" i="16"/>
  <c r="K6" i="16"/>
  <c r="H37" i="16"/>
  <c r="I37" i="16" s="1"/>
  <c r="J37" i="16" s="1"/>
  <c r="K37" i="16" s="1"/>
  <c r="L37" i="16" s="1"/>
  <c r="M37" i="16" s="1"/>
  <c r="N37" i="16" s="1"/>
  <c r="O37" i="16" s="1"/>
  <c r="P37" i="16" s="1"/>
  <c r="Q37" i="16" s="1"/>
  <c r="E64" i="16"/>
  <c r="E102" i="16"/>
  <c r="I8" i="16"/>
  <c r="J8" i="16" s="1"/>
  <c r="K5" i="16"/>
  <c r="E83" i="16"/>
  <c r="E99" i="16"/>
  <c r="M92" i="16"/>
  <c r="M87" i="16"/>
  <c r="R221" i="36" l="1"/>
  <c r="AO214" i="36"/>
  <c r="AP220" i="36"/>
  <c r="AQ162" i="36"/>
  <c r="M234" i="36"/>
  <c r="K285" i="36"/>
  <c r="K286" i="36" s="1"/>
  <c r="K278" i="36"/>
  <c r="K283" i="36"/>
  <c r="K62" i="36"/>
  <c r="M283" i="36"/>
  <c r="M285" i="36"/>
  <c r="M286" i="36" s="1"/>
  <c r="M278" i="36"/>
  <c r="M62" i="36"/>
  <c r="Q285" i="36"/>
  <c r="Q286" i="36" s="1"/>
  <c r="Q278" i="36"/>
  <c r="Q283" i="36"/>
  <c r="Q62" i="36"/>
  <c r="Q262" i="36"/>
  <c r="Q266" i="36"/>
  <c r="P266" i="36"/>
  <c r="P262" i="36"/>
  <c r="I285" i="36"/>
  <c r="I286" i="36" s="1"/>
  <c r="I278" i="36"/>
  <c r="I283" i="36"/>
  <c r="H283" i="36"/>
  <c r="H285" i="36"/>
  <c r="H286" i="36" s="1"/>
  <c r="H278" i="36"/>
  <c r="H62" i="36"/>
  <c r="G283" i="36"/>
  <c r="G285" i="36"/>
  <c r="G286" i="36" s="1"/>
  <c r="G278" i="36"/>
  <c r="P283" i="36"/>
  <c r="P285" i="36"/>
  <c r="P286" i="36" s="1"/>
  <c r="P278" i="36"/>
  <c r="P62" i="36"/>
  <c r="J259" i="36"/>
  <c r="J282" i="36"/>
  <c r="J253" i="36"/>
  <c r="I262" i="36"/>
  <c r="I266" i="36"/>
  <c r="H266" i="36"/>
  <c r="H262" i="36"/>
  <c r="N283" i="36"/>
  <c r="N285" i="36"/>
  <c r="N286" i="36" s="1"/>
  <c r="N278" i="36"/>
  <c r="N62" i="36"/>
  <c r="G266" i="36"/>
  <c r="G262" i="36"/>
  <c r="I62" i="36"/>
  <c r="I69" i="36" s="1"/>
  <c r="L282" i="36"/>
  <c r="L253" i="36"/>
  <c r="L259" i="36"/>
  <c r="N266" i="36"/>
  <c r="N262" i="36"/>
  <c r="O283" i="36"/>
  <c r="O285" i="36"/>
  <c r="O286" i="36" s="1"/>
  <c r="O278" i="36"/>
  <c r="O62" i="36"/>
  <c r="F283" i="36"/>
  <c r="F285" i="36"/>
  <c r="F286" i="36" s="1"/>
  <c r="F278" i="36"/>
  <c r="E262" i="36"/>
  <c r="E266" i="36"/>
  <c r="O266" i="36"/>
  <c r="O262" i="36"/>
  <c r="M262" i="36"/>
  <c r="M266" i="36"/>
  <c r="F266" i="36"/>
  <c r="F262" i="36"/>
  <c r="K262" i="36"/>
  <c r="K266" i="36"/>
  <c r="E283" i="36"/>
  <c r="E285" i="36"/>
  <c r="E286" i="36" s="1"/>
  <c r="E278" i="36"/>
  <c r="E62" i="36"/>
  <c r="AX153" i="36"/>
  <c r="AA219" i="36"/>
  <c r="I71" i="36"/>
  <c r="I70" i="36"/>
  <c r="AK218" i="36"/>
  <c r="S227" i="36"/>
  <c r="S225" i="36"/>
  <c r="AK219" i="36"/>
  <c r="AH213" i="36"/>
  <c r="AR213" i="36"/>
  <c r="AB225" i="36"/>
  <c r="AL225" i="36"/>
  <c r="AV225" i="36"/>
  <c r="AH226" i="36"/>
  <c r="AR226" i="36"/>
  <c r="AE227" i="36"/>
  <c r="AO227" i="36"/>
  <c r="W212" i="36"/>
  <c r="AU220" i="36"/>
  <c r="AU235" i="36" s="1"/>
  <c r="AE225" i="36"/>
  <c r="AA226" i="36"/>
  <c r="AA220" i="36"/>
  <c r="AK220" i="36"/>
  <c r="AP235" i="36" s="1"/>
  <c r="Y153" i="36"/>
  <c r="Z208" i="36"/>
  <c r="Z212" i="36" s="1"/>
  <c r="AJ208" i="36"/>
  <c r="AJ212" i="36" s="1"/>
  <c r="AT208" i="36"/>
  <c r="S226" i="36"/>
  <c r="N5" i="36"/>
  <c r="O77" i="36"/>
  <c r="O353" i="36" s="1"/>
  <c r="AS153" i="36"/>
  <c r="AN153" i="36"/>
  <c r="AE219" i="36"/>
  <c r="AD98" i="36"/>
  <c r="S208" i="36"/>
  <c r="S212" i="36" s="1"/>
  <c r="AB208" i="36"/>
  <c r="AB224" i="36" s="1"/>
  <c r="AL208" i="36"/>
  <c r="S214" i="36"/>
  <c r="AM208" i="36"/>
  <c r="AM212" i="36" s="1"/>
  <c r="AW37" i="36"/>
  <c r="AS98" i="36"/>
  <c r="U220" i="36"/>
  <c r="U218" i="36"/>
  <c r="AQ224" i="36"/>
  <c r="T225" i="36"/>
  <c r="AC225" i="36"/>
  <c r="AM225" i="36"/>
  <c r="AW225" i="36"/>
  <c r="Z226" i="36"/>
  <c r="AJ226" i="36"/>
  <c r="AT226" i="36"/>
  <c r="AF227" i="36"/>
  <c r="AP227" i="36"/>
  <c r="AO225" i="36"/>
  <c r="AK226" i="36"/>
  <c r="AU226" i="36"/>
  <c r="AG227" i="36"/>
  <c r="AQ227" i="36"/>
  <c r="AV213" i="36"/>
  <c r="AT212" i="36"/>
  <c r="AF213" i="36"/>
  <c r="AP225" i="36"/>
  <c r="AB226" i="36"/>
  <c r="AL226" i="36"/>
  <c r="AV226" i="36"/>
  <c r="AH227" i="36"/>
  <c r="AR227" i="36"/>
  <c r="AG225" i="36"/>
  <c r="AQ225" i="36"/>
  <c r="T226" i="36"/>
  <c r="AC226" i="36"/>
  <c r="AM226" i="36"/>
  <c r="AW226" i="36"/>
  <c r="Z227" i="36"/>
  <c r="AJ227" i="36"/>
  <c r="AT227" i="36"/>
  <c r="E88" i="16"/>
  <c r="Y206" i="36"/>
  <c r="AC219" i="36"/>
  <c r="AC234" i="36" s="1"/>
  <c r="AM227" i="36"/>
  <c r="AU227" i="36"/>
  <c r="AS210" i="36"/>
  <c r="Z213" i="36"/>
  <c r="U213" i="36"/>
  <c r="AG220" i="36"/>
  <c r="AQ220" i="36"/>
  <c r="BC205" i="36"/>
  <c r="V208" i="36"/>
  <c r="V212" i="36" s="1"/>
  <c r="AP208" i="36"/>
  <c r="AP212" i="36" s="1"/>
  <c r="AF225" i="36"/>
  <c r="T227" i="36"/>
  <c r="AI98" i="36"/>
  <c r="AB218" i="36"/>
  <c r="AL219" i="36"/>
  <c r="AL234" i="36" s="1"/>
  <c r="W219" i="36"/>
  <c r="AB219" i="36"/>
  <c r="AJ213" i="36"/>
  <c r="AJ229" i="36" s="1"/>
  <c r="AT213" i="36"/>
  <c r="AA213" i="36"/>
  <c r="AK213" i="36"/>
  <c r="AU213" i="36"/>
  <c r="AB220" i="36"/>
  <c r="AB235" i="36" s="1"/>
  <c r="AL220" i="36"/>
  <c r="AV220" i="36"/>
  <c r="R208" i="36"/>
  <c r="R224" i="36" s="1"/>
  <c r="AA208" i="36"/>
  <c r="AA224" i="36" s="1"/>
  <c r="AK208" i="36"/>
  <c r="AK212" i="36" s="1"/>
  <c r="AU208" i="36"/>
  <c r="AU224" i="36" s="1"/>
  <c r="AK221" i="36"/>
  <c r="AB221" i="36"/>
  <c r="AE208" i="36"/>
  <c r="AO219" i="36"/>
  <c r="BF89" i="36"/>
  <c r="BG144" i="36"/>
  <c r="AQ218" i="36"/>
  <c r="AQ221" i="36"/>
  <c r="AB213" i="36"/>
  <c r="AL213" i="36"/>
  <c r="BH206" i="36"/>
  <c r="J63" i="16"/>
  <c r="AA218" i="36"/>
  <c r="AA221" i="36"/>
  <c r="BC206" i="36"/>
  <c r="F63" i="16"/>
  <c r="BG89" i="36"/>
  <c r="AU218" i="36"/>
  <c r="AU221" i="36"/>
  <c r="AR219" i="36"/>
  <c r="AD205" i="36"/>
  <c r="AD153" i="36"/>
  <c r="AC213" i="36"/>
  <c r="AM213" i="36"/>
  <c r="AE220" i="36"/>
  <c r="AO220" i="36"/>
  <c r="V219" i="36"/>
  <c r="AH208" i="36"/>
  <c r="AH212" i="36" s="1"/>
  <c r="AR208" i="36"/>
  <c r="K62" i="16"/>
  <c r="AR218" i="36"/>
  <c r="AR221" i="36"/>
  <c r="BF90" i="36"/>
  <c r="AL218" i="36"/>
  <c r="AL221" i="36"/>
  <c r="BE88" i="36"/>
  <c r="BE85" i="36" s="1"/>
  <c r="AY211" i="36"/>
  <c r="AY227" i="36" s="1"/>
  <c r="I63" i="16"/>
  <c r="X213" i="36"/>
  <c r="AQ212" i="36"/>
  <c r="BE89" i="36"/>
  <c r="S221" i="36"/>
  <c r="V220" i="36"/>
  <c r="AA235" i="36" s="1"/>
  <c r="BG90" i="36"/>
  <c r="AP218" i="36"/>
  <c r="AP221" i="36"/>
  <c r="Y80" i="36"/>
  <c r="Y102" i="36"/>
  <c r="V213" i="36"/>
  <c r="AG213" i="36"/>
  <c r="AQ213" i="36"/>
  <c r="AQ229" i="36" s="1"/>
  <c r="AH220" i="36"/>
  <c r="AR220" i="36"/>
  <c r="AO217" i="36"/>
  <c r="AZ140" i="36"/>
  <c r="AZ211" i="36"/>
  <c r="AZ227" i="36" s="1"/>
  <c r="BI385" i="36"/>
  <c r="AL212" i="36"/>
  <c r="H59" i="16"/>
  <c r="T213" i="36"/>
  <c r="AP213" i="36"/>
  <c r="U219" i="36"/>
  <c r="H62" i="16"/>
  <c r="AV218" i="36"/>
  <c r="AV221" i="36"/>
  <c r="AN98" i="36"/>
  <c r="AN209" i="36"/>
  <c r="AE218" i="36"/>
  <c r="AE221" i="36"/>
  <c r="W213" i="36"/>
  <c r="X220" i="36"/>
  <c r="BD151" i="36"/>
  <c r="BF143" i="36"/>
  <c r="BF140" i="36" s="1"/>
  <c r="BA211" i="36"/>
  <c r="BA227" i="36" s="1"/>
  <c r="T221" i="36"/>
  <c r="BD88" i="36"/>
  <c r="BD85" i="36" s="1"/>
  <c r="E62" i="16"/>
  <c r="F62" i="16"/>
  <c r="G62" i="16"/>
  <c r="AP219" i="36"/>
  <c r="AP234" i="36" s="1"/>
  <c r="K49" i="16"/>
  <c r="AI153" i="36"/>
  <c r="AF221" i="36"/>
  <c r="AG218" i="36"/>
  <c r="AG221" i="36"/>
  <c r="AH218" i="36"/>
  <c r="AH221" i="36"/>
  <c r="Y98" i="36"/>
  <c r="V218" i="36"/>
  <c r="V221" i="36"/>
  <c r="W218" i="36"/>
  <c r="W221" i="36"/>
  <c r="X218" i="36"/>
  <c r="X221" i="36"/>
  <c r="BH205" i="36"/>
  <c r="BG143" i="36"/>
  <c r="BB211" i="36"/>
  <c r="BB227" i="36" s="1"/>
  <c r="T67" i="36"/>
  <c r="U208" i="36"/>
  <c r="U212" i="36" s="1"/>
  <c r="AA212" i="36"/>
  <c r="AW208" i="36"/>
  <c r="U221" i="36"/>
  <c r="AS205" i="36"/>
  <c r="AS206" i="36"/>
  <c r="AC218" i="36"/>
  <c r="AC220" i="36"/>
  <c r="AM220" i="36"/>
  <c r="AW220" i="36"/>
  <c r="AN211" i="36"/>
  <c r="AN208" i="36" s="1"/>
  <c r="AW214" i="36"/>
  <c r="I42" i="16"/>
  <c r="AV208" i="36"/>
  <c r="AT219" i="36"/>
  <c r="AM218" i="36"/>
  <c r="AW217" i="36"/>
  <c r="AO208" i="36"/>
  <c r="AO224" i="36" s="1"/>
  <c r="AO213" i="36"/>
  <c r="AW213" i="36"/>
  <c r="AX209" i="36"/>
  <c r="AJ219" i="36"/>
  <c r="AG214" i="36"/>
  <c r="AF208" i="36"/>
  <c r="R213" i="36"/>
  <c r="R229" i="36" s="1"/>
  <c r="AX210" i="36"/>
  <c r="AX226" i="36" s="1"/>
  <c r="AM219" i="36"/>
  <c r="AJ220" i="36"/>
  <c r="AT220" i="36"/>
  <c r="AT235" i="36" s="1"/>
  <c r="T208" i="36"/>
  <c r="AC208" i="36"/>
  <c r="AC212" i="36" s="1"/>
  <c r="AG208" i="36"/>
  <c r="AL224" i="36" s="1"/>
  <c r="S213" i="36"/>
  <c r="AW219" i="36"/>
  <c r="AI205" i="36"/>
  <c r="AI210" i="36"/>
  <c r="X208" i="36"/>
  <c r="X212" i="36" s="1"/>
  <c r="AH214" i="36"/>
  <c r="BG88" i="36"/>
  <c r="BG85" i="36" s="1"/>
  <c r="AW47" i="36"/>
  <c r="AX45" i="36"/>
  <c r="AY45" i="36" s="1"/>
  <c r="AZ45" i="36" s="1"/>
  <c r="BA45" i="36" s="1"/>
  <c r="BB45" i="36" s="1"/>
  <c r="BC45" i="36" s="1"/>
  <c r="BD45" i="36" s="1"/>
  <c r="BE45" i="36" s="1"/>
  <c r="BF45" i="36" s="1"/>
  <c r="BG45" i="36" s="1"/>
  <c r="BH45" i="36" s="1"/>
  <c r="BI45" i="36" s="1"/>
  <c r="BJ45" i="36" s="1"/>
  <c r="BK45" i="36" s="1"/>
  <c r="BL45" i="36" s="1"/>
  <c r="W214" i="36"/>
  <c r="AP217" i="36"/>
  <c r="AP215" i="36"/>
  <c r="AP231" i="36" s="1"/>
  <c r="R54" i="36"/>
  <c r="R59" i="36" s="1"/>
  <c r="R214" i="36"/>
  <c r="R230" i="36" s="1"/>
  <c r="R203" i="36"/>
  <c r="AR214" i="36"/>
  <c r="AF217" i="36"/>
  <c r="AF215" i="36"/>
  <c r="U217" i="36"/>
  <c r="U215" i="36"/>
  <c r="AX211" i="36"/>
  <c r="AX208" i="36" s="1"/>
  <c r="AF218" i="36"/>
  <c r="Y157" i="36"/>
  <c r="Y209" i="36"/>
  <c r="Y225" i="36" s="1"/>
  <c r="X214" i="36"/>
  <c r="AJ214" i="36"/>
  <c r="AO230" i="36" s="1"/>
  <c r="AT214" i="36"/>
  <c r="AT230" i="36" s="1"/>
  <c r="V215" i="36"/>
  <c r="V217" i="36"/>
  <c r="AG215" i="36"/>
  <c r="AQ217" i="36"/>
  <c r="AQ215" i="36"/>
  <c r="R217" i="36"/>
  <c r="R232" i="36" s="1"/>
  <c r="R215" i="36"/>
  <c r="R231" i="36" s="1"/>
  <c r="J42" i="16"/>
  <c r="AN205" i="36"/>
  <c r="AN210" i="36"/>
  <c r="AD209" i="36"/>
  <c r="AK214" i="36"/>
  <c r="AU214" i="36"/>
  <c r="X217" i="36"/>
  <c r="X215" i="36"/>
  <c r="AH217" i="36"/>
  <c r="AH215" i="36"/>
  <c r="AR215" i="36"/>
  <c r="AR217" i="36"/>
  <c r="R220" i="36"/>
  <c r="R235" i="36" s="1"/>
  <c r="K42" i="16"/>
  <c r="AA214" i="36"/>
  <c r="AG217" i="36"/>
  <c r="R219" i="36"/>
  <c r="R234" i="36" s="1"/>
  <c r="AI206" i="36"/>
  <c r="AI211" i="36"/>
  <c r="AF219" i="36"/>
  <c r="Y205" i="36"/>
  <c r="Y158" i="36"/>
  <c r="Y210" i="36"/>
  <c r="Y226" i="36" s="1"/>
  <c r="AB214" i="36"/>
  <c r="AL214" i="36"/>
  <c r="AV214" i="36"/>
  <c r="Z217" i="36"/>
  <c r="Z215" i="36"/>
  <c r="AJ215" i="36"/>
  <c r="AJ217" i="36"/>
  <c r="AT215" i="36"/>
  <c r="AT217" i="36"/>
  <c r="AT232" i="36" s="1"/>
  <c r="S219" i="36"/>
  <c r="AX205" i="36"/>
  <c r="AN206" i="36"/>
  <c r="AD210" i="36"/>
  <c r="AC214" i="36"/>
  <c r="AM214" i="36"/>
  <c r="AA217" i="36"/>
  <c r="AA232" i="36" s="1"/>
  <c r="AA215" i="36"/>
  <c r="AK217" i="36"/>
  <c r="AU215" i="36"/>
  <c r="AU217" i="36"/>
  <c r="S54" i="36"/>
  <c r="S58" i="36" s="1"/>
  <c r="R218" i="36"/>
  <c r="R233" i="36" s="1"/>
  <c r="T219" i="36"/>
  <c r="T234" i="36" s="1"/>
  <c r="AQ214" i="36"/>
  <c r="AX206" i="36"/>
  <c r="AS209" i="36"/>
  <c r="AS225" i="36" s="1"/>
  <c r="Y159" i="36"/>
  <c r="Y211" i="36"/>
  <c r="Y227" i="36" s="1"/>
  <c r="AE214" i="36"/>
  <c r="AF220" i="36"/>
  <c r="AB215" i="36"/>
  <c r="AB217" i="36"/>
  <c r="AL215" i="36"/>
  <c r="AL217" i="36"/>
  <c r="AV217" i="36"/>
  <c r="AV215" i="36"/>
  <c r="T54" i="36"/>
  <c r="T58" i="36" s="1"/>
  <c r="T214" i="36"/>
  <c r="S217" i="36"/>
  <c r="S215" i="36"/>
  <c r="F42" i="16"/>
  <c r="H49" i="16"/>
  <c r="AD206" i="36"/>
  <c r="AD211" i="36"/>
  <c r="Z214" i="36"/>
  <c r="Z230" i="36" s="1"/>
  <c r="U214" i="36"/>
  <c r="AF214" i="36"/>
  <c r="AP214" i="36"/>
  <c r="AC217" i="36"/>
  <c r="AM215" i="36"/>
  <c r="AM231" i="36" s="1"/>
  <c r="AM217" i="36"/>
  <c r="AM232" i="36" s="1"/>
  <c r="AW215" i="36"/>
  <c r="T215" i="36"/>
  <c r="T217" i="36"/>
  <c r="S220" i="36"/>
  <c r="T218" i="36"/>
  <c r="G42" i="16"/>
  <c r="I49" i="16"/>
  <c r="S218" i="36"/>
  <c r="AS211" i="36"/>
  <c r="AI209" i="36"/>
  <c r="V214" i="36"/>
  <c r="AE215" i="36"/>
  <c r="AE217" i="36"/>
  <c r="AE232" i="36" s="1"/>
  <c r="AO215" i="36"/>
  <c r="T220" i="36"/>
  <c r="E38" i="16"/>
  <c r="H42" i="16"/>
  <c r="J49" i="16"/>
  <c r="E50" i="16"/>
  <c r="AC215" i="36"/>
  <c r="I104" i="16"/>
  <c r="AO162" i="36"/>
  <c r="AH67" i="36"/>
  <c r="AI67" i="36" s="1"/>
  <c r="AJ67" i="36"/>
  <c r="AD66" i="36"/>
  <c r="AY296" i="36"/>
  <c r="AY65" i="36" s="1"/>
  <c r="BD8" i="36"/>
  <c r="BE8" i="36" s="1"/>
  <c r="BF8" i="36" s="1"/>
  <c r="BG8" i="36" s="1"/>
  <c r="BH8" i="36" s="1"/>
  <c r="BI8" i="36" s="1"/>
  <c r="BJ8" i="36" s="1"/>
  <c r="BK8" i="36" s="1"/>
  <c r="BL8" i="36" s="1"/>
  <c r="BC8" i="36"/>
  <c r="BC28" i="36"/>
  <c r="BD28" i="36"/>
  <c r="BE28" i="36" s="1"/>
  <c r="BF28" i="36" s="1"/>
  <c r="BG28" i="36" s="1"/>
  <c r="BH28" i="36" s="1"/>
  <c r="BI28" i="36" s="1"/>
  <c r="BJ28" i="36" s="1"/>
  <c r="BK28" i="36" s="1"/>
  <c r="BL28" i="36" s="1"/>
  <c r="AY123" i="36"/>
  <c r="AE67" i="36"/>
  <c r="AO163" i="36"/>
  <c r="S163" i="36"/>
  <c r="S156" i="36"/>
  <c r="AO161" i="36"/>
  <c r="AB161" i="36"/>
  <c r="AB162" i="36"/>
  <c r="AW67" i="36"/>
  <c r="AX67" i="36" s="1"/>
  <c r="S67" i="36"/>
  <c r="AF164" i="36"/>
  <c r="BA181" i="36"/>
  <c r="AV67" i="36"/>
  <c r="AC67" i="36"/>
  <c r="AD67" i="36" s="1"/>
  <c r="AS158" i="36"/>
  <c r="BA140" i="36"/>
  <c r="AU162" i="36"/>
  <c r="AI157" i="36"/>
  <c r="BA142" i="36"/>
  <c r="AS64" i="36"/>
  <c r="AJ417" i="36"/>
  <c r="AP161" i="36"/>
  <c r="R160" i="36"/>
  <c r="AX64" i="36"/>
  <c r="AX66" i="36"/>
  <c r="AN64" i="36"/>
  <c r="AS66" i="36"/>
  <c r="AI66" i="36"/>
  <c r="AA165" i="36"/>
  <c r="AF165" i="36"/>
  <c r="AP165" i="36"/>
  <c r="AC166" i="36"/>
  <c r="AR166" i="36"/>
  <c r="AW166" i="36"/>
  <c r="T167" i="36"/>
  <c r="AX157" i="36"/>
  <c r="AX152" i="36"/>
  <c r="AE156" i="36"/>
  <c r="AG161" i="36"/>
  <c r="AG162" i="36"/>
  <c r="AG163" i="36"/>
  <c r="AO164" i="36"/>
  <c r="Z165" i="36"/>
  <c r="AJ165" i="36"/>
  <c r="AT165" i="36"/>
  <c r="AB166" i="36"/>
  <c r="AG166" i="36"/>
  <c r="AE167" i="36"/>
  <c r="AT162" i="36"/>
  <c r="AZ172" i="36"/>
  <c r="AQ156" i="36"/>
  <c r="AJ161" i="36"/>
  <c r="R163" i="36"/>
  <c r="Z166" i="36"/>
  <c r="AW163" i="36"/>
  <c r="T166" i="36"/>
  <c r="AA167" i="36"/>
  <c r="AU167" i="36"/>
  <c r="AF161" i="36"/>
  <c r="AF162" i="36"/>
  <c r="AF163" i="36"/>
  <c r="AC105" i="36"/>
  <c r="AA107" i="36"/>
  <c r="AA156" i="36"/>
  <c r="AC161" i="36"/>
  <c r="Z54" i="36"/>
  <c r="R162" i="36"/>
  <c r="AE109" i="36"/>
  <c r="AO109" i="36"/>
  <c r="AE110" i="36"/>
  <c r="AO110" i="36"/>
  <c r="AC111" i="36"/>
  <c r="AM111" i="36"/>
  <c r="AW111" i="36"/>
  <c r="AK112" i="36"/>
  <c r="AS159" i="36"/>
  <c r="AP156" i="36"/>
  <c r="AD149" i="36"/>
  <c r="AL54" i="36"/>
  <c r="AV54" i="36"/>
  <c r="AF111" i="36"/>
  <c r="AW162" i="36"/>
  <c r="AI158" i="36"/>
  <c r="AJ162" i="36"/>
  <c r="AJ54" i="36"/>
  <c r="AT54" i="36"/>
  <c r="AQ167" i="36"/>
  <c r="AO417" i="36"/>
  <c r="AR161" i="36"/>
  <c r="T163" i="36"/>
  <c r="AB54" i="36"/>
  <c r="AA164" i="36"/>
  <c r="AR163" i="36"/>
  <c r="AH54" i="36"/>
  <c r="AR54" i="36"/>
  <c r="BB140" i="36"/>
  <c r="BB141" i="36" s="1"/>
  <c r="AA54" i="36"/>
  <c r="AK54" i="36"/>
  <c r="AU54" i="36"/>
  <c r="AE417" i="36"/>
  <c r="AQ166" i="36"/>
  <c r="BF88" i="36"/>
  <c r="BF85" i="36" s="1"/>
  <c r="AC54" i="36"/>
  <c r="AM54" i="36"/>
  <c r="AW54" i="36"/>
  <c r="AH160" i="36"/>
  <c r="AZ152" i="36"/>
  <c r="AE54" i="36"/>
  <c r="AO54" i="36"/>
  <c r="AJ156" i="36"/>
  <c r="AB165" i="36"/>
  <c r="AL165" i="36"/>
  <c r="AJ166" i="36"/>
  <c r="AY87" i="36"/>
  <c r="AF54" i="36"/>
  <c r="AP54" i="36"/>
  <c r="AA161" i="36"/>
  <c r="AA162" i="36"/>
  <c r="AA163" i="36"/>
  <c r="AM165" i="36"/>
  <c r="AK166" i="36"/>
  <c r="AZ87" i="36"/>
  <c r="AY327" i="36"/>
  <c r="AG54" i="36"/>
  <c r="AQ54" i="36"/>
  <c r="S165" i="36"/>
  <c r="AY328" i="36"/>
  <c r="AM156" i="36"/>
  <c r="AC162" i="36"/>
  <c r="AC163" i="36"/>
  <c r="AK164" i="36"/>
  <c r="AU164" i="36"/>
  <c r="AY329" i="36"/>
  <c r="BE92" i="36"/>
  <c r="AD158" i="36"/>
  <c r="BE96" i="36"/>
  <c r="AZ123" i="36"/>
  <c r="R164" i="36"/>
  <c r="T165" i="36"/>
  <c r="E52" i="16" s="1"/>
  <c r="AW165" i="36"/>
  <c r="BB150" i="36"/>
  <c r="AU166" i="36"/>
  <c r="AZ151" i="36"/>
  <c r="AE161" i="36"/>
  <c r="BG95" i="36"/>
  <c r="BB117" i="36"/>
  <c r="BA178" i="36"/>
  <c r="BF151" i="36"/>
  <c r="BF96" i="36"/>
  <c r="BA123" i="36"/>
  <c r="Z417" i="36"/>
  <c r="BF95" i="36"/>
  <c r="BA117" i="36"/>
  <c r="BD97" i="36"/>
  <c r="AY126" i="36"/>
  <c r="AT160" i="36"/>
  <c r="AI149" i="36"/>
  <c r="AB144" i="36"/>
  <c r="AB160" i="36" s="1"/>
  <c r="AB156" i="36"/>
  <c r="Z161" i="36"/>
  <c r="R185" i="36"/>
  <c r="AF109" i="36"/>
  <c r="AP109" i="36"/>
  <c r="AF110" i="36"/>
  <c r="AP110" i="36"/>
  <c r="AB112" i="36"/>
  <c r="BA126" i="36"/>
  <c r="BF97" i="36"/>
  <c r="AZ126" i="36"/>
  <c r="BA172" i="36"/>
  <c r="BF150" i="36"/>
  <c r="BB126" i="36"/>
  <c r="BG97" i="36"/>
  <c r="AM164" i="36"/>
  <c r="AW164" i="36"/>
  <c r="AH165" i="36"/>
  <c r="AR165" i="36"/>
  <c r="AF166" i="36"/>
  <c r="AP166" i="36"/>
  <c r="AC167" i="36"/>
  <c r="AM167" i="36"/>
  <c r="AW167" i="36"/>
  <c r="BB152" i="36"/>
  <c r="AG156" i="36"/>
  <c r="BF92" i="36"/>
  <c r="BE120" i="36"/>
  <c r="BH120" i="36" s="1"/>
  <c r="BD143" i="36"/>
  <c r="AY140" i="36"/>
  <c r="AY142" i="36"/>
  <c r="AY243" i="36"/>
  <c r="AY357" i="36" s="1"/>
  <c r="AY18" i="36" s="1"/>
  <c r="AW240" i="36"/>
  <c r="AW221" i="36" s="1"/>
  <c r="BB191" i="36"/>
  <c r="BG191" i="36" s="1"/>
  <c r="BD92" i="36"/>
  <c r="AV163" i="36"/>
  <c r="BA147" i="36"/>
  <c r="BF147" i="36" s="1"/>
  <c r="AZ297" i="36"/>
  <c r="AY326" i="36"/>
  <c r="AY178" i="36"/>
  <c r="AU161" i="36"/>
  <c r="AQ163" i="36"/>
  <c r="AX150" i="36"/>
  <c r="AN159" i="36"/>
  <c r="AA101" i="36"/>
  <c r="AC108" i="36"/>
  <c r="AE164" i="36"/>
  <c r="AZ191" i="36"/>
  <c r="BE191" i="36" s="1"/>
  <c r="AZ298" i="36"/>
  <c r="BA300" i="36"/>
  <c r="BA329" i="36" s="1"/>
  <c r="BB85" i="36"/>
  <c r="BB86" i="36" s="1"/>
  <c r="BB102" i="36" s="1"/>
  <c r="AT161" i="36"/>
  <c r="AS157" i="36"/>
  <c r="AG106" i="36"/>
  <c r="AI150" i="36"/>
  <c r="AL156" i="36"/>
  <c r="AE162" i="36"/>
  <c r="AE163" i="36"/>
  <c r="AW109" i="36"/>
  <c r="AC110" i="36"/>
  <c r="AM110" i="36"/>
  <c r="AB111" i="36"/>
  <c r="AL111" i="36"/>
  <c r="AV111" i="36"/>
  <c r="Z112" i="36"/>
  <c r="AT112" i="36"/>
  <c r="AP164" i="36"/>
  <c r="AF167" i="36"/>
  <c r="S164" i="36"/>
  <c r="AO156" i="36"/>
  <c r="AM166" i="36"/>
  <c r="BC88" i="36"/>
  <c r="BC104" i="36" s="1"/>
  <c r="BA87" i="36"/>
  <c r="AY145" i="36"/>
  <c r="BB147" i="36"/>
  <c r="BA191" i="36"/>
  <c r="BF191" i="36" s="1"/>
  <c r="BH276" i="36"/>
  <c r="AW161" i="36"/>
  <c r="AI159" i="36"/>
  <c r="AG164" i="36"/>
  <c r="T164" i="36"/>
  <c r="E53" i="16" s="1"/>
  <c r="BB87" i="36"/>
  <c r="BB142" i="36"/>
  <c r="AZ145" i="36"/>
  <c r="AY150" i="36"/>
  <c r="BB151" i="36"/>
  <c r="AY195" i="36"/>
  <c r="BD195" i="36" s="1"/>
  <c r="AV162" i="36"/>
  <c r="AX158" i="36"/>
  <c r="AN157" i="36"/>
  <c r="AN149" i="36"/>
  <c r="AN152" i="36"/>
  <c r="T112" i="36"/>
  <c r="AT164" i="36"/>
  <c r="Z167" i="36"/>
  <c r="AJ167" i="36"/>
  <c r="AT167" i="36"/>
  <c r="AY85" i="36"/>
  <c r="BB96" i="36"/>
  <c r="BB145" i="36"/>
  <c r="AZ192" i="36"/>
  <c r="BE192" i="36" s="1"/>
  <c r="AZ299" i="36"/>
  <c r="AZ85" i="36"/>
  <c r="AZ86" i="36" s="1"/>
  <c r="AZ102" i="36" s="1"/>
  <c r="BA192" i="36"/>
  <c r="BB195" i="36"/>
  <c r="BG195" i="36" s="1"/>
  <c r="AU163" i="36"/>
  <c r="AQ161" i="36"/>
  <c r="AW156" i="36"/>
  <c r="AN158" i="36"/>
  <c r="AK161" i="36"/>
  <c r="AK162" i="36"/>
  <c r="AK163" i="36"/>
  <c r="AN150" i="36"/>
  <c r="AC164" i="36"/>
  <c r="AV164" i="36"/>
  <c r="AG165" i="36"/>
  <c r="AQ165" i="36"/>
  <c r="AE166" i="36"/>
  <c r="AO166" i="36"/>
  <c r="AB167" i="36"/>
  <c r="AL167" i="36"/>
  <c r="AV167" i="36"/>
  <c r="AY152" i="36"/>
  <c r="BB192" i="36"/>
  <c r="BG192" i="36" s="1"/>
  <c r="BG243" i="36" s="1"/>
  <c r="BG357" i="36" s="1"/>
  <c r="AY117" i="36"/>
  <c r="BD192" i="36"/>
  <c r="BF195" i="36"/>
  <c r="AZ117" i="36"/>
  <c r="BF152" i="36"/>
  <c r="BG92" i="36"/>
  <c r="AZ142" i="36"/>
  <c r="BC143" i="36"/>
  <c r="BC159" i="36" s="1"/>
  <c r="BE150" i="36"/>
  <c r="BC175" i="36"/>
  <c r="BD175" i="36"/>
  <c r="BE143" i="36"/>
  <c r="BE175" i="36"/>
  <c r="BD96" i="36"/>
  <c r="BC120" i="36"/>
  <c r="BA86" i="36"/>
  <c r="BA102" i="36" s="1"/>
  <c r="R165" i="36"/>
  <c r="AT163" i="36"/>
  <c r="Y151" i="36"/>
  <c r="AU165" i="36"/>
  <c r="AH166" i="36"/>
  <c r="AH156" i="36"/>
  <c r="AD159" i="36"/>
  <c r="AP163" i="36"/>
  <c r="AH161" i="36"/>
  <c r="AH163" i="36"/>
  <c r="AU156" i="36"/>
  <c r="AS149" i="36"/>
  <c r="AF241" i="36"/>
  <c r="Y149" i="36"/>
  <c r="Y152" i="36"/>
  <c r="AG111" i="36"/>
  <c r="AH167" i="36"/>
  <c r="S166" i="36"/>
  <c r="AE165" i="36"/>
  <c r="AF156" i="36"/>
  <c r="AH162" i="36"/>
  <c r="R130" i="36"/>
  <c r="AS150" i="36"/>
  <c r="AD157" i="36"/>
  <c r="AV166" i="36"/>
  <c r="AS152" i="36"/>
  <c r="AM161" i="36"/>
  <c r="AV144" i="36"/>
  <c r="BA144" i="36" s="1"/>
  <c r="AV156" i="36"/>
  <c r="AL162" i="36"/>
  <c r="Z163" i="36"/>
  <c r="AK167" i="36"/>
  <c r="AP167" i="36"/>
  <c r="T156" i="36"/>
  <c r="AR156" i="36"/>
  <c r="AO165" i="36"/>
  <c r="AS151" i="36"/>
  <c r="AM163" i="36"/>
  <c r="AL164" i="36"/>
  <c r="AQ164" i="36"/>
  <c r="Z156" i="36"/>
  <c r="AX159" i="36"/>
  <c r="AJ163" i="36"/>
  <c r="AD151" i="36"/>
  <c r="S162" i="36"/>
  <c r="AX149" i="36"/>
  <c r="AL161" i="36"/>
  <c r="AL163" i="36"/>
  <c r="AD152" i="36"/>
  <c r="AJ112" i="36"/>
  <c r="AK165" i="36"/>
  <c r="AO167" i="36"/>
  <c r="AC156" i="36"/>
  <c r="AK156" i="36"/>
  <c r="AM162" i="36"/>
  <c r="Z162" i="36"/>
  <c r="Y150" i="36"/>
  <c r="S130" i="36"/>
  <c r="S185" i="36"/>
  <c r="AF112" i="36"/>
  <c r="AP112" i="36"/>
  <c r="Z164" i="36"/>
  <c r="AH164" i="36"/>
  <c r="AR164" i="36"/>
  <c r="AV165" i="36"/>
  <c r="S167" i="36"/>
  <c r="AT156" i="36"/>
  <c r="AV161" i="36"/>
  <c r="AI202" i="36"/>
  <c r="AI97" i="36"/>
  <c r="AI151" i="36"/>
  <c r="AD104" i="36"/>
  <c r="AD150" i="36"/>
  <c r="AJ111" i="36"/>
  <c r="AT111" i="36"/>
  <c r="AG112" i="36"/>
  <c r="AQ112" i="36"/>
  <c r="AJ164" i="36"/>
  <c r="AC165" i="36"/>
  <c r="AA166" i="36"/>
  <c r="AT166" i="36"/>
  <c r="AG167" i="36"/>
  <c r="R156" i="36"/>
  <c r="AX151" i="36"/>
  <c r="AN151" i="36"/>
  <c r="AB101" i="36"/>
  <c r="Z160" i="36"/>
  <c r="AB163" i="36"/>
  <c r="AB109" i="36"/>
  <c r="AL109" i="36"/>
  <c r="AV109" i="36"/>
  <c r="AB110" i="36"/>
  <c r="AL110" i="36"/>
  <c r="AV110" i="36"/>
  <c r="AA111" i="36"/>
  <c r="AK111" i="36"/>
  <c r="AU111" i="36"/>
  <c r="AC112" i="36"/>
  <c r="AH112" i="36"/>
  <c r="AR112" i="36"/>
  <c r="AB164" i="36"/>
  <c r="AL166" i="36"/>
  <c r="AR167" i="36"/>
  <c r="T162" i="36"/>
  <c r="AB106" i="36"/>
  <c r="AB107" i="36"/>
  <c r="AB108" i="36"/>
  <c r="AQ109" i="36"/>
  <c r="AQ110" i="36"/>
  <c r="T111" i="36"/>
  <c r="AA112" i="36"/>
  <c r="V276" i="36"/>
  <c r="S111" i="36"/>
  <c r="AC107" i="36"/>
  <c r="Z111" i="36"/>
  <c r="AE111" i="36"/>
  <c r="S112" i="36"/>
  <c r="AU112" i="36"/>
  <c r="AI152" i="36"/>
  <c r="AX96" i="36"/>
  <c r="AD103" i="36"/>
  <c r="Z106" i="36"/>
  <c r="Z107" i="36"/>
  <c r="Z108" i="36"/>
  <c r="Z109" i="36"/>
  <c r="AL112" i="36"/>
  <c r="AV112" i="36"/>
  <c r="AO111" i="36"/>
  <c r="AX97" i="36"/>
  <c r="AI96" i="36"/>
  <c r="AA109" i="36"/>
  <c r="AG110" i="36"/>
  <c r="AQ111" i="36"/>
  <c r="AE112" i="36"/>
  <c r="AM112" i="36"/>
  <c r="AW112" i="36"/>
  <c r="AR111" i="36"/>
  <c r="AO112" i="36"/>
  <c r="Y96" i="36"/>
  <c r="AS202" i="36"/>
  <c r="AS237" i="36"/>
  <c r="Y94" i="36"/>
  <c r="Y97" i="36"/>
  <c r="AH111" i="36"/>
  <c r="AP111" i="36"/>
  <c r="AN97" i="36"/>
  <c r="AD94" i="36"/>
  <c r="AD97" i="36"/>
  <c r="AG109" i="36"/>
  <c r="AC101" i="36"/>
  <c r="Y95" i="36"/>
  <c r="T276" i="36"/>
  <c r="AC109" i="36"/>
  <c r="AM109" i="36"/>
  <c r="AR109" i="36"/>
  <c r="AH110" i="36"/>
  <c r="AW110" i="36"/>
  <c r="AS96" i="36"/>
  <c r="AN96" i="36"/>
  <c r="AA106" i="36"/>
  <c r="AA108" i="36"/>
  <c r="AD95" i="36"/>
  <c r="AJ109" i="36"/>
  <c r="AT109" i="36"/>
  <c r="Z110" i="36"/>
  <c r="AJ110" i="36"/>
  <c r="AT110" i="36"/>
  <c r="Z105" i="36"/>
  <c r="AK203" i="36"/>
  <c r="AK109" i="36"/>
  <c r="AU109" i="36"/>
  <c r="AA110" i="36"/>
  <c r="AK110" i="36"/>
  <c r="AU110" i="36"/>
  <c r="AN237" i="36"/>
  <c r="AC106" i="36"/>
  <c r="T110" i="36"/>
  <c r="E45" i="16" s="1"/>
  <c r="AD102" i="36"/>
  <c r="R109" i="36"/>
  <c r="S109" i="36"/>
  <c r="R110" i="36"/>
  <c r="AR110" i="36"/>
  <c r="AD96" i="36"/>
  <c r="T109" i="36"/>
  <c r="E46" i="16" s="1"/>
  <c r="S110" i="36"/>
  <c r="AS95" i="36"/>
  <c r="AS97" i="36"/>
  <c r="AI95" i="36"/>
  <c r="AN95" i="36"/>
  <c r="AR203" i="36"/>
  <c r="Y273" i="36"/>
  <c r="R105" i="36"/>
  <c r="AH109" i="36"/>
  <c r="AN94" i="36"/>
  <c r="R108" i="36"/>
  <c r="AI94" i="36"/>
  <c r="Z101" i="36"/>
  <c r="S108" i="36"/>
  <c r="W241" i="36"/>
  <c r="R106" i="36"/>
  <c r="Y103" i="36"/>
  <c r="R107" i="36"/>
  <c r="AS94" i="36"/>
  <c r="AG241" i="36"/>
  <c r="Y237" i="36"/>
  <c r="R101" i="36"/>
  <c r="AD271" i="36"/>
  <c r="AS249" i="36"/>
  <c r="AS104" i="36"/>
  <c r="AH101" i="36"/>
  <c r="AU108" i="36"/>
  <c r="AV276" i="36"/>
  <c r="R250" i="36"/>
  <c r="Y191" i="36"/>
  <c r="Y240" i="36" s="1"/>
  <c r="S203" i="36"/>
  <c r="AS271" i="36"/>
  <c r="AI237" i="36"/>
  <c r="AI249" i="36"/>
  <c r="Y195" i="36"/>
  <c r="Y192" i="36"/>
  <c r="Y243" i="36" s="1"/>
  <c r="AD237" i="36"/>
  <c r="T107" i="36"/>
  <c r="AU107" i="36"/>
  <c r="AX103" i="36"/>
  <c r="AN202" i="36"/>
  <c r="AN249" i="36"/>
  <c r="AK276" i="36"/>
  <c r="W244" i="36"/>
  <c r="AU241" i="36"/>
  <c r="AX173" i="36"/>
  <c r="AX249" i="36"/>
  <c r="AD249" i="36"/>
  <c r="W250" i="36"/>
  <c r="U276" i="36"/>
  <c r="R276" i="36"/>
  <c r="S276" i="36"/>
  <c r="S144" i="36"/>
  <c r="T238" i="36"/>
  <c r="S101" i="36"/>
  <c r="T108" i="36"/>
  <c r="T101" i="36"/>
  <c r="T250" i="36"/>
  <c r="R247" i="36"/>
  <c r="T106" i="36"/>
  <c r="E43" i="16" s="1"/>
  <c r="T203" i="36"/>
  <c r="S244" i="36"/>
  <c r="T241" i="36"/>
  <c r="S247" i="36"/>
  <c r="R238" i="36"/>
  <c r="S106" i="36"/>
  <c r="S107" i="36"/>
  <c r="S238" i="36"/>
  <c r="T244" i="36"/>
  <c r="S250" i="36"/>
  <c r="T247" i="36"/>
  <c r="R244" i="36"/>
  <c r="S241" i="36"/>
  <c r="S252" i="36"/>
  <c r="R252" i="36"/>
  <c r="T252" i="36"/>
  <c r="S89" i="36"/>
  <c r="R241" i="36"/>
  <c r="T196" i="36"/>
  <c r="R196" i="36"/>
  <c r="S196" i="36"/>
  <c r="T89" i="36"/>
  <c r="W247" i="36"/>
  <c r="Y249" i="36"/>
  <c r="V250" i="36"/>
  <c r="AF101" i="36"/>
  <c r="AH106" i="36"/>
  <c r="AH107" i="36"/>
  <c r="AH108" i="36"/>
  <c r="AV106" i="36"/>
  <c r="AD190" i="36"/>
  <c r="AD202" i="36" s="1"/>
  <c r="AX91" i="36"/>
  <c r="AO107" i="36"/>
  <c r="AI104" i="36"/>
  <c r="AA244" i="36"/>
  <c r="Z249" i="36"/>
  <c r="AO106" i="36"/>
  <c r="AA241" i="36"/>
  <c r="AL276" i="36"/>
  <c r="AS274" i="36"/>
  <c r="AU105" i="36"/>
  <c r="AS127" i="36"/>
  <c r="AO101" i="36"/>
  <c r="AJ244" i="36"/>
  <c r="AM276" i="36"/>
  <c r="AS145" i="36"/>
  <c r="AX202" i="36"/>
  <c r="Y202" i="36"/>
  <c r="AC276" i="36"/>
  <c r="AS170" i="36"/>
  <c r="Y170" i="36"/>
  <c r="AU196" i="36"/>
  <c r="AK106" i="36"/>
  <c r="AK108" i="36"/>
  <c r="AJ247" i="36"/>
  <c r="U244" i="36"/>
  <c r="V247" i="36"/>
  <c r="AS90" i="36"/>
  <c r="AL106" i="36"/>
  <c r="AL107" i="36"/>
  <c r="V244" i="36"/>
  <c r="AA276" i="36"/>
  <c r="Z196" i="36"/>
  <c r="AD191" i="36"/>
  <c r="AD240" i="36" s="1"/>
  <c r="AS191" i="36"/>
  <c r="AS240" i="36" s="1"/>
  <c r="AA203" i="36"/>
  <c r="AG203" i="36"/>
  <c r="AX274" i="36"/>
  <c r="AQ203" i="36"/>
  <c r="AR107" i="36"/>
  <c r="AL247" i="36"/>
  <c r="AM247" i="36"/>
  <c r="AD192" i="36"/>
  <c r="AD243" i="36" s="1"/>
  <c r="AA247" i="36"/>
  <c r="X238" i="36"/>
  <c r="AE106" i="36"/>
  <c r="AE107" i="36"/>
  <c r="AA238" i="36"/>
  <c r="AU246" i="36"/>
  <c r="AW276" i="36"/>
  <c r="AX147" i="36"/>
  <c r="AF108" i="36"/>
  <c r="AE203" i="36"/>
  <c r="AF247" i="36"/>
  <c r="AG247" i="36"/>
  <c r="Y92" i="36"/>
  <c r="Y108" i="36" s="1"/>
  <c r="AD115" i="36"/>
  <c r="W196" i="36"/>
  <c r="AC203" i="36"/>
  <c r="AR144" i="36"/>
  <c r="AR108" i="36"/>
  <c r="AK241" i="36"/>
  <c r="AD173" i="36"/>
  <c r="AA196" i="36"/>
  <c r="AU238" i="36"/>
  <c r="AX179" i="36"/>
  <c r="AL241" i="36"/>
  <c r="AA250" i="36"/>
  <c r="AV108" i="36"/>
  <c r="AJ108" i="36"/>
  <c r="V238" i="36"/>
  <c r="AX104" i="36"/>
  <c r="Y90" i="36"/>
  <c r="AD121" i="36"/>
  <c r="X241" i="36"/>
  <c r="X244" i="36"/>
  <c r="X247" i="36"/>
  <c r="AC250" i="36"/>
  <c r="Z203" i="36"/>
  <c r="AT101" i="36"/>
  <c r="AX146" i="36"/>
  <c r="AS91" i="36"/>
  <c r="AS147" i="36"/>
  <c r="AS192" i="36"/>
  <c r="AS243" i="36" s="1"/>
  <c r="AL238" i="36"/>
  <c r="AL250" i="36"/>
  <c r="Y182" i="36"/>
  <c r="AD274" i="36"/>
  <c r="AX80" i="36"/>
  <c r="AK238" i="36"/>
  <c r="AP101" i="36"/>
  <c r="AS80" i="36"/>
  <c r="AS195" i="36"/>
  <c r="AM238" i="36"/>
  <c r="AM250" i="36"/>
  <c r="AF244" i="36"/>
  <c r="AD90" i="36"/>
  <c r="Y115" i="36"/>
  <c r="Y124" i="36"/>
  <c r="Y173" i="36"/>
  <c r="AC244" i="36"/>
  <c r="X276" i="36"/>
  <c r="AQ276" i="36"/>
  <c r="AX271" i="36"/>
  <c r="AD124" i="36"/>
  <c r="Y184" i="36"/>
  <c r="AB238" i="36"/>
  <c r="AB247" i="36"/>
  <c r="Y271" i="36"/>
  <c r="AQ106" i="36"/>
  <c r="AS92" i="36"/>
  <c r="AN92" i="36"/>
  <c r="AK101" i="36"/>
  <c r="AK244" i="36"/>
  <c r="Y127" i="36"/>
  <c r="AC238" i="36"/>
  <c r="U250" i="36"/>
  <c r="AU106" i="36"/>
  <c r="AQ241" i="36"/>
  <c r="AX140" i="36"/>
  <c r="AS140" i="36"/>
  <c r="AS176" i="36"/>
  <c r="AL105" i="36"/>
  <c r="AE108" i="36"/>
  <c r="AL244" i="36"/>
  <c r="AG250" i="36"/>
  <c r="Y118" i="36"/>
  <c r="Y147" i="36"/>
  <c r="Y163" i="36" s="1"/>
  <c r="Y176" i="36"/>
  <c r="AB241" i="36"/>
  <c r="AB244" i="36"/>
  <c r="AB196" i="36"/>
  <c r="X252" i="36"/>
  <c r="X259" i="36" s="1"/>
  <c r="U238" i="36"/>
  <c r="AS85" i="36"/>
  <c r="AS89" i="36" s="1"/>
  <c r="AS121" i="36"/>
  <c r="AS179" i="36"/>
  <c r="AF106" i="36"/>
  <c r="AJ276" i="36"/>
  <c r="AM241" i="36"/>
  <c r="AD118" i="36"/>
  <c r="AD127" i="36"/>
  <c r="AD176" i="36"/>
  <c r="U241" i="36"/>
  <c r="AC241" i="36"/>
  <c r="AC247" i="36"/>
  <c r="AB276" i="36"/>
  <c r="Y274" i="36"/>
  <c r="AX85" i="36"/>
  <c r="AX89" i="36" s="1"/>
  <c r="AX176" i="36"/>
  <c r="AX102" i="36"/>
  <c r="AS182" i="36"/>
  <c r="AJ238" i="36"/>
  <c r="AJ250" i="36"/>
  <c r="AM244" i="36"/>
  <c r="Y121" i="36"/>
  <c r="Y179" i="36"/>
  <c r="V241" i="36"/>
  <c r="U247" i="36"/>
  <c r="V196" i="36"/>
  <c r="X250" i="36"/>
  <c r="W276" i="36"/>
  <c r="Z276" i="36"/>
  <c r="AD91" i="36"/>
  <c r="AD147" i="36"/>
  <c r="AD146" i="36"/>
  <c r="AD140" i="36"/>
  <c r="AD170" i="36"/>
  <c r="AD179" i="36"/>
  <c r="Z238" i="36"/>
  <c r="AD182" i="36"/>
  <c r="Y140" i="36"/>
  <c r="Y156" i="36" s="1"/>
  <c r="AA252" i="36"/>
  <c r="AD85" i="36"/>
  <c r="AD92" i="36"/>
  <c r="V144" i="36"/>
  <c r="W89" i="36"/>
  <c r="Y129" i="36"/>
  <c r="AF107" i="36"/>
  <c r="AD184" i="36"/>
  <c r="AD195" i="36"/>
  <c r="Z240" i="36"/>
  <c r="Z221" i="36" s="1"/>
  <c r="Z246" i="36"/>
  <c r="AB250" i="36"/>
  <c r="AA144" i="36"/>
  <c r="Y145" i="36"/>
  <c r="AE105" i="36"/>
  <c r="AI102" i="36"/>
  <c r="AG107" i="36"/>
  <c r="AG108" i="36"/>
  <c r="AH203" i="36"/>
  <c r="Y85" i="36"/>
  <c r="Y101" i="36" s="1"/>
  <c r="Y146" i="36"/>
  <c r="Y162" i="36" s="1"/>
  <c r="U196" i="36"/>
  <c r="AC196" i="36"/>
  <c r="U252" i="36"/>
  <c r="AC252" i="36"/>
  <c r="AI135" i="36"/>
  <c r="AB89" i="36"/>
  <c r="AD129" i="36"/>
  <c r="X144" i="36"/>
  <c r="AC160" i="36" s="1"/>
  <c r="AD145" i="36"/>
  <c r="X196" i="36"/>
  <c r="AB203" i="36"/>
  <c r="Z243" i="36"/>
  <c r="Z244" i="36" s="1"/>
  <c r="V252" i="36"/>
  <c r="AB252" i="36"/>
  <c r="AA89" i="36"/>
  <c r="AA105" i="36" s="1"/>
  <c r="Y91" i="36"/>
  <c r="Y107" i="36" s="1"/>
  <c r="AH276" i="36"/>
  <c r="AM203" i="36"/>
  <c r="AH241" i="36"/>
  <c r="AM106" i="36"/>
  <c r="AM107" i="36"/>
  <c r="AM108" i="36"/>
  <c r="AH196" i="36"/>
  <c r="AH238" i="36"/>
  <c r="AM101" i="36"/>
  <c r="AI140" i="36"/>
  <c r="AH244" i="36"/>
  <c r="AH250" i="36"/>
  <c r="AN140" i="36"/>
  <c r="AI192" i="36"/>
  <c r="AI243" i="36" s="1"/>
  <c r="AL108" i="36"/>
  <c r="AN176" i="36"/>
  <c r="AQ107" i="36"/>
  <c r="AG244" i="36"/>
  <c r="AG238" i="36"/>
  <c r="AQ108" i="36"/>
  <c r="AL203" i="36"/>
  <c r="AN121" i="36"/>
  <c r="AF276" i="36"/>
  <c r="AN271" i="36"/>
  <c r="AP106" i="36"/>
  <c r="AI92" i="36"/>
  <c r="AN104" i="36"/>
  <c r="AI115" i="36"/>
  <c r="AI127" i="36"/>
  <c r="AI103" i="36"/>
  <c r="AN115" i="36"/>
  <c r="AN127" i="36"/>
  <c r="AK196" i="36"/>
  <c r="AI118" i="36"/>
  <c r="AI91" i="36"/>
  <c r="AP108" i="36"/>
  <c r="AN102" i="36"/>
  <c r="AI121" i="36"/>
  <c r="AN145" i="36"/>
  <c r="AF238" i="36"/>
  <c r="AK250" i="36"/>
  <c r="AN191" i="36"/>
  <c r="AN240" i="36" s="1"/>
  <c r="AN103" i="36"/>
  <c r="AK107" i="36"/>
  <c r="AI124" i="36"/>
  <c r="AK247" i="36"/>
  <c r="AF250" i="36"/>
  <c r="AI271" i="36"/>
  <c r="AE276" i="36"/>
  <c r="AJ106" i="36"/>
  <c r="AJ107" i="36"/>
  <c r="AI176" i="36"/>
  <c r="AE247" i="36"/>
  <c r="AI147" i="36"/>
  <c r="AI179" i="36"/>
  <c r="AE238" i="36"/>
  <c r="AN147" i="36"/>
  <c r="AN179" i="36"/>
  <c r="AI191" i="36"/>
  <c r="AI240" i="36" s="1"/>
  <c r="AE243" i="36"/>
  <c r="AE244" i="36" s="1"/>
  <c r="AO108" i="36"/>
  <c r="AI170" i="36"/>
  <c r="AI182" i="36"/>
  <c r="AN170" i="36"/>
  <c r="AN182" i="36"/>
  <c r="AJ203" i="36"/>
  <c r="AE250" i="36"/>
  <c r="AI173" i="36"/>
  <c r="AN173" i="36"/>
  <c r="AE241" i="36"/>
  <c r="AJ101" i="36"/>
  <c r="AE101" i="36"/>
  <c r="AG252" i="36"/>
  <c r="AF252" i="36"/>
  <c r="AN80" i="36"/>
  <c r="AN85" i="36"/>
  <c r="AF89" i="36"/>
  <c r="AL101" i="36"/>
  <c r="AN118" i="36"/>
  <c r="AN124" i="36"/>
  <c r="AJ144" i="36"/>
  <c r="AN146" i="36"/>
  <c r="AN192" i="36"/>
  <c r="AN243" i="36" s="1"/>
  <c r="AJ196" i="36"/>
  <c r="AF203" i="36"/>
  <c r="AH246" i="36"/>
  <c r="AH89" i="36"/>
  <c r="AH105" i="36" s="1"/>
  <c r="AN90" i="36"/>
  <c r="AL144" i="36"/>
  <c r="AN184" i="36"/>
  <c r="AN195" i="36"/>
  <c r="AL196" i="36"/>
  <c r="AJ240" i="36"/>
  <c r="AJ221" i="36" s="1"/>
  <c r="AI274" i="36"/>
  <c r="AQ105" i="36"/>
  <c r="AI145" i="36"/>
  <c r="AI80" i="36"/>
  <c r="AI85" i="36"/>
  <c r="AG101" i="36"/>
  <c r="AE144" i="36"/>
  <c r="AE160" i="36" s="1"/>
  <c r="AM144" i="36"/>
  <c r="AM160" i="36" s="1"/>
  <c r="AI146" i="36"/>
  <c r="AE196" i="36"/>
  <c r="AM196" i="36"/>
  <c r="AK252" i="36"/>
  <c r="AR105" i="36"/>
  <c r="AJ89" i="36"/>
  <c r="AN91" i="36"/>
  <c r="AN135" i="36"/>
  <c r="AF144" i="36"/>
  <c r="AF196" i="36"/>
  <c r="AL252" i="36"/>
  <c r="AG276" i="36"/>
  <c r="AR106" i="36"/>
  <c r="AK89" i="36"/>
  <c r="AI90" i="36"/>
  <c r="AG144" i="36"/>
  <c r="AI184" i="36"/>
  <c r="AI195" i="36"/>
  <c r="AG196" i="36"/>
  <c r="AM252" i="36"/>
  <c r="AP107" i="36"/>
  <c r="AN129" i="36"/>
  <c r="AI129" i="36"/>
  <c r="AN274" i="36"/>
  <c r="AS124" i="36"/>
  <c r="AS146" i="36"/>
  <c r="AS115" i="36"/>
  <c r="AS103" i="36"/>
  <c r="AS129" i="36"/>
  <c r="AS102" i="36"/>
  <c r="AS118" i="36"/>
  <c r="AS184" i="36"/>
  <c r="AS135" i="36"/>
  <c r="AS173" i="36"/>
  <c r="AX145" i="36"/>
  <c r="AX170" i="36"/>
  <c r="AX182" i="36"/>
  <c r="AX184" i="36"/>
  <c r="AX135" i="36"/>
  <c r="AX90" i="36"/>
  <c r="AR276" i="36"/>
  <c r="AW106" i="36"/>
  <c r="AW108" i="36"/>
  <c r="AR247" i="36"/>
  <c r="AW244" i="36"/>
  <c r="AR238" i="36"/>
  <c r="AW107" i="36"/>
  <c r="AW238" i="36"/>
  <c r="AR101" i="36"/>
  <c r="AW247" i="36"/>
  <c r="AW105" i="36"/>
  <c r="AW196" i="36"/>
  <c r="AR241" i="36"/>
  <c r="AR250" i="36"/>
  <c r="AR244" i="36"/>
  <c r="AW250" i="36"/>
  <c r="AR196" i="36"/>
  <c r="AQ247" i="36"/>
  <c r="AQ244" i="36"/>
  <c r="AV241" i="36"/>
  <c r="AV244" i="36"/>
  <c r="AV238" i="36"/>
  <c r="AV107" i="36"/>
  <c r="AQ144" i="36"/>
  <c r="AQ196" i="36"/>
  <c r="AV105" i="36"/>
  <c r="AV196" i="36"/>
  <c r="AQ101" i="36"/>
  <c r="AQ250" i="36"/>
  <c r="AV101" i="36"/>
  <c r="AV246" i="36"/>
  <c r="AV250" i="36"/>
  <c r="AQ238" i="36"/>
  <c r="AU276" i="36"/>
  <c r="AP241" i="36"/>
  <c r="AP247" i="36"/>
  <c r="AU250" i="36"/>
  <c r="AU244" i="36"/>
  <c r="AP252" i="36"/>
  <c r="AR252" i="36"/>
  <c r="AU101" i="36"/>
  <c r="AP196" i="36"/>
  <c r="AP244" i="36"/>
  <c r="AW101" i="36"/>
  <c r="AP144" i="36"/>
  <c r="AP160" i="36" s="1"/>
  <c r="AP203" i="36"/>
  <c r="AU144" i="36"/>
  <c r="AZ144" i="36" s="1"/>
  <c r="AU203" i="36"/>
  <c r="AV203" i="36"/>
  <c r="AP238" i="36"/>
  <c r="AP250" i="36"/>
  <c r="AQ252" i="36"/>
  <c r="AW203" i="36"/>
  <c r="AT107" i="36"/>
  <c r="AT89" i="36"/>
  <c r="AY89" i="36" s="1"/>
  <c r="AT106" i="36"/>
  <c r="AT108" i="36"/>
  <c r="T49" i="36"/>
  <c r="AT238" i="36"/>
  <c r="AX195" i="36"/>
  <c r="AX246" i="36" s="1"/>
  <c r="AO240" i="36"/>
  <c r="AO221" i="36" s="1"/>
  <c r="AX191" i="36"/>
  <c r="AT240" i="36"/>
  <c r="AT221" i="36" s="1"/>
  <c r="AX192" i="36"/>
  <c r="AM49" i="36"/>
  <c r="AT243" i="36"/>
  <c r="AH23" i="36"/>
  <c r="AT196" i="36"/>
  <c r="AU23" i="36"/>
  <c r="U49" i="36"/>
  <c r="AT250" i="36"/>
  <c r="V49" i="36"/>
  <c r="AO238" i="36"/>
  <c r="AX127" i="36"/>
  <c r="AO250" i="36"/>
  <c r="AO196" i="36"/>
  <c r="AO244" i="36"/>
  <c r="AO203" i="36"/>
  <c r="AO247" i="36"/>
  <c r="AT203" i="36"/>
  <c r="R418" i="36"/>
  <c r="R419" i="36" s="1"/>
  <c r="R352" i="36" s="1"/>
  <c r="AT247" i="36"/>
  <c r="AN47" i="36"/>
  <c r="AV23" i="36"/>
  <c r="AW23" i="36"/>
  <c r="X49" i="36"/>
  <c r="S49" i="36"/>
  <c r="AL23" i="36"/>
  <c r="AC23" i="36"/>
  <c r="Y47" i="36"/>
  <c r="AR23" i="36"/>
  <c r="AJ23" i="36"/>
  <c r="AI47" i="36"/>
  <c r="AD47" i="36"/>
  <c r="R23" i="36"/>
  <c r="AH381" i="36"/>
  <c r="T23" i="36"/>
  <c r="AN37" i="36"/>
  <c r="AO23" i="36"/>
  <c r="AD37" i="36"/>
  <c r="AI37" i="36"/>
  <c r="AP23" i="36"/>
  <c r="Z23" i="36"/>
  <c r="AX37" i="36"/>
  <c r="AM23" i="36"/>
  <c r="AA23" i="36"/>
  <c r="U23" i="36"/>
  <c r="X23" i="36"/>
  <c r="S23" i="36"/>
  <c r="S418" i="36"/>
  <c r="R49" i="36"/>
  <c r="W23" i="36"/>
  <c r="V23" i="36"/>
  <c r="X399" i="36"/>
  <c r="AB23" i="36"/>
  <c r="V415" i="36"/>
  <c r="X388" i="36"/>
  <c r="X392" i="36" s="1"/>
  <c r="Y37" i="36"/>
  <c r="AQ23" i="36"/>
  <c r="AK23" i="36"/>
  <c r="AE23" i="36"/>
  <c r="AF23" i="36"/>
  <c r="AG23" i="36"/>
  <c r="X381" i="36"/>
  <c r="X421" i="36" s="1"/>
  <c r="AC381" i="36"/>
  <c r="AC392" i="36"/>
  <c r="AH392" i="36"/>
  <c r="W49" i="36"/>
  <c r="Y12" i="36"/>
  <c r="Y23" i="36" s="1"/>
  <c r="F64" i="16"/>
  <c r="AA49" i="36"/>
  <c r="AX12" i="36"/>
  <c r="AX23" i="36" s="1"/>
  <c r="AC49" i="36"/>
  <c r="AH49" i="36"/>
  <c r="Z49" i="36"/>
  <c r="AF49" i="36"/>
  <c r="AR381" i="36"/>
  <c r="AV49" i="36"/>
  <c r="AG49" i="36"/>
  <c r="AR392" i="36"/>
  <c r="AB49" i="36"/>
  <c r="AE49" i="36"/>
  <c r="AI12" i="36"/>
  <c r="AI23" i="36" s="1"/>
  <c r="AD12" i="36"/>
  <c r="AD23" i="36" s="1"/>
  <c r="AL49" i="36"/>
  <c r="AJ49" i="36"/>
  <c r="AK49" i="36"/>
  <c r="AM392" i="36"/>
  <c r="AM381" i="36"/>
  <c r="AN12" i="36"/>
  <c r="AN23" i="36" s="1"/>
  <c r="AQ49" i="36"/>
  <c r="AR49" i="36"/>
  <c r="AO49" i="36"/>
  <c r="AP49" i="36"/>
  <c r="E96" i="16"/>
  <c r="K92" i="16"/>
  <c r="K8" i="16"/>
  <c r="K9" i="16" s="1"/>
  <c r="S235" i="36" l="1"/>
  <c r="S231" i="36"/>
  <c r="AD227" i="36"/>
  <c r="AD226" i="36"/>
  <c r="AF234" i="36"/>
  <c r="AF233" i="36"/>
  <c r="AC228" i="36"/>
  <c r="AA234" i="36"/>
  <c r="BD117" i="36"/>
  <c r="AB212" i="36"/>
  <c r="AP233" i="36"/>
  <c r="R212" i="36"/>
  <c r="R228" i="36" s="1"/>
  <c r="M279" i="36"/>
  <c r="M280" i="36"/>
  <c r="E71" i="36"/>
  <c r="E70" i="36"/>
  <c r="E69" i="36"/>
  <c r="P71" i="36"/>
  <c r="P69" i="36"/>
  <c r="P70" i="36"/>
  <c r="H280" i="36"/>
  <c r="H279" i="36"/>
  <c r="F279" i="36"/>
  <c r="F280" i="36"/>
  <c r="H69" i="36"/>
  <c r="H71" i="36"/>
  <c r="H70" i="36"/>
  <c r="E279" i="36"/>
  <c r="E280" i="36"/>
  <c r="O71" i="36"/>
  <c r="O69" i="36"/>
  <c r="O70" i="36"/>
  <c r="L278" i="36"/>
  <c r="L283" i="36"/>
  <c r="L285" i="36"/>
  <c r="L286" i="36" s="1"/>
  <c r="L62" i="36"/>
  <c r="P280" i="36"/>
  <c r="P279" i="36"/>
  <c r="O279" i="36"/>
  <c r="O280" i="36"/>
  <c r="Q69" i="36"/>
  <c r="Q70" i="36"/>
  <c r="Q71" i="36"/>
  <c r="K69" i="36"/>
  <c r="K70" i="36"/>
  <c r="K71" i="36"/>
  <c r="J285" i="36"/>
  <c r="J286" i="36" s="1"/>
  <c r="J278" i="36"/>
  <c r="J283" i="36"/>
  <c r="J62" i="36"/>
  <c r="J262" i="36"/>
  <c r="J266" i="36"/>
  <c r="N279" i="36"/>
  <c r="N280" i="36"/>
  <c r="G279" i="36"/>
  <c r="G280" i="36"/>
  <c r="I280" i="36"/>
  <c r="I279" i="36"/>
  <c r="Q280" i="36"/>
  <c r="Q279" i="36"/>
  <c r="K279" i="36"/>
  <c r="K280" i="36"/>
  <c r="M71" i="36"/>
  <c r="M70" i="36"/>
  <c r="M69" i="36"/>
  <c r="L262" i="36"/>
  <c r="L266" i="36"/>
  <c r="N69" i="36"/>
  <c r="N71" i="36"/>
  <c r="N70" i="36"/>
  <c r="T230" i="36"/>
  <c r="AK232" i="36"/>
  <c r="AM229" i="36"/>
  <c r="S230" i="36"/>
  <c r="S224" i="36"/>
  <c r="AH231" i="36"/>
  <c r="AC235" i="36"/>
  <c r="AJ224" i="36"/>
  <c r="AG229" i="36"/>
  <c r="AR229" i="36"/>
  <c r="G62" i="36"/>
  <c r="F62" i="36"/>
  <c r="AB228" i="36"/>
  <c r="BF181" i="36"/>
  <c r="BE126" i="36"/>
  <c r="AV232" i="36"/>
  <c r="AF235" i="36"/>
  <c r="AV233" i="36"/>
  <c r="AU212" i="36"/>
  <c r="AU228" i="36" s="1"/>
  <c r="AG231" i="36"/>
  <c r="AJ234" i="36"/>
  <c r="BE117" i="36"/>
  <c r="AO212" i="36"/>
  <c r="AO228" i="36" s="1"/>
  <c r="AO231" i="36"/>
  <c r="AF230" i="36"/>
  <c r="Z229" i="36"/>
  <c r="M5" i="36"/>
  <c r="N77" i="36"/>
  <c r="N353" i="36" s="1"/>
  <c r="T57" i="36"/>
  <c r="AC231" i="36"/>
  <c r="AQ228" i="36"/>
  <c r="AU232" i="36"/>
  <c r="AL230" i="36"/>
  <c r="AH230" i="36"/>
  <c r="AC230" i="36"/>
  <c r="AO229" i="36"/>
  <c r="S59" i="36"/>
  <c r="AW49" i="36"/>
  <c r="AT234" i="36"/>
  <c r="AA228" i="36"/>
  <c r="AK229" i="36"/>
  <c r="T232" i="36"/>
  <c r="AC232" i="36"/>
  <c r="AJ232" i="36"/>
  <c r="AB230" i="36"/>
  <c r="AG232" i="36"/>
  <c r="AN226" i="36"/>
  <c r="AG233" i="36"/>
  <c r="AF229" i="36"/>
  <c r="S55" i="36"/>
  <c r="AS227" i="36"/>
  <c r="T231" i="36"/>
  <c r="AQ230" i="36"/>
  <c r="AP229" i="36"/>
  <c r="AP230" i="36"/>
  <c r="AV231" i="36"/>
  <c r="Z228" i="36"/>
  <c r="Z231" i="36"/>
  <c r="AE230" i="36"/>
  <c r="S234" i="36"/>
  <c r="Z232" i="36"/>
  <c r="AR232" i="36"/>
  <c r="S229" i="36"/>
  <c r="AM233" i="36"/>
  <c r="AW224" i="36"/>
  <c r="AM228" i="36"/>
  <c r="AL235" i="36"/>
  <c r="I105" i="16"/>
  <c r="E98" i="16"/>
  <c r="AH235" i="36"/>
  <c r="AU233" i="36"/>
  <c r="AB234" i="36"/>
  <c r="AQ235" i="36"/>
  <c r="AL232" i="36"/>
  <c r="AJ231" i="36"/>
  <c r="AR231" i="36"/>
  <c r="AU230" i="36"/>
  <c r="AF231" i="36"/>
  <c r="AP232" i="36"/>
  <c r="AJ235" i="36"/>
  <c r="AW212" i="36"/>
  <c r="AH233" i="36"/>
  <c r="AN225" i="36"/>
  <c r="AR212" i="36"/>
  <c r="AR228" i="36" s="1"/>
  <c r="AR224" i="36"/>
  <c r="AA233" i="36"/>
  <c r="AP224" i="36"/>
  <c r="AG235" i="36"/>
  <c r="AK235" i="36"/>
  <c r="AF212" i="36"/>
  <c r="AF228" i="36" s="1"/>
  <c r="AF224" i="36"/>
  <c r="BH175" i="36"/>
  <c r="T235" i="36"/>
  <c r="AI225" i="36"/>
  <c r="AN212" i="36"/>
  <c r="S232" i="36"/>
  <c r="AL231" i="36"/>
  <c r="AA231" i="36"/>
  <c r="AK230" i="36"/>
  <c r="AF232" i="36"/>
  <c r="AG230" i="36"/>
  <c r="AN227" i="36"/>
  <c r="AM235" i="36"/>
  <c r="AL233" i="36"/>
  <c r="AH224" i="36"/>
  <c r="AC229" i="36"/>
  <c r="AV235" i="36"/>
  <c r="AT224" i="36"/>
  <c r="AM224" i="36"/>
  <c r="AG212" i="36"/>
  <c r="AG228" i="36" s="1"/>
  <c r="AG224" i="36"/>
  <c r="AA230" i="36"/>
  <c r="AH232" i="36"/>
  <c r="AR230" i="36"/>
  <c r="AP228" i="36"/>
  <c r="AX225" i="36"/>
  <c r="AV212" i="36"/>
  <c r="AV228" i="36" s="1"/>
  <c r="AV224" i="36"/>
  <c r="AC233" i="36"/>
  <c r="T229" i="36"/>
  <c r="AL229" i="36"/>
  <c r="AO234" i="36"/>
  <c r="AS226" i="36"/>
  <c r="AH229" i="36"/>
  <c r="AQ234" i="36"/>
  <c r="AD225" i="36"/>
  <c r="S233" i="36"/>
  <c r="AM230" i="36"/>
  <c r="AI227" i="36"/>
  <c r="AQ231" i="36"/>
  <c r="AI226" i="36"/>
  <c r="AC224" i="36"/>
  <c r="AB229" i="36"/>
  <c r="AU229" i="36"/>
  <c r="AB233" i="36"/>
  <c r="Z224" i="36"/>
  <c r="AK234" i="36"/>
  <c r="AX227" i="36"/>
  <c r="AK224" i="36"/>
  <c r="AE229" i="36"/>
  <c r="T233" i="36"/>
  <c r="AU231" i="36"/>
  <c r="AT231" i="36"/>
  <c r="AV230" i="36"/>
  <c r="AQ232" i="36"/>
  <c r="AJ230" i="36"/>
  <c r="T212" i="36"/>
  <c r="T228" i="36" s="1"/>
  <c r="T224" i="36"/>
  <c r="AO232" i="36"/>
  <c r="AR233" i="36"/>
  <c r="AR234" i="36"/>
  <c r="AT229" i="36"/>
  <c r="AV229" i="36"/>
  <c r="AK231" i="36"/>
  <c r="AE231" i="36"/>
  <c r="AH228" i="36"/>
  <c r="AR235" i="36"/>
  <c r="AO235" i="36"/>
  <c r="AQ233" i="36"/>
  <c r="AE212" i="36"/>
  <c r="AE224" i="36"/>
  <c r="AA229" i="36"/>
  <c r="AG234" i="36"/>
  <c r="AK233" i="36"/>
  <c r="BA208" i="36"/>
  <c r="BA224" i="36" s="1"/>
  <c r="BF172" i="36"/>
  <c r="BF178" i="36"/>
  <c r="BB208" i="36"/>
  <c r="BB224" i="36" s="1"/>
  <c r="BD126" i="36"/>
  <c r="AZ210" i="36"/>
  <c r="AZ226" i="36" s="1"/>
  <c r="BD123" i="36"/>
  <c r="AY208" i="36"/>
  <c r="AY224" i="36" s="1"/>
  <c r="AZ98" i="36"/>
  <c r="BE86" i="36"/>
  <c r="BE102" i="36" s="1"/>
  <c r="BA98" i="36"/>
  <c r="AY169" i="36"/>
  <c r="AY210" i="36"/>
  <c r="AY226" i="36" s="1"/>
  <c r="BG140" i="36"/>
  <c r="BG141" i="36" s="1"/>
  <c r="BG211" i="36"/>
  <c r="BG227" i="36" s="1"/>
  <c r="AI161" i="36"/>
  <c r="H50" i="16" s="1"/>
  <c r="AD161" i="36"/>
  <c r="G50" i="16" s="1"/>
  <c r="Y161" i="36"/>
  <c r="AN213" i="36"/>
  <c r="BB181" i="36"/>
  <c r="AZ178" i="36"/>
  <c r="AZ246" i="36" s="1"/>
  <c r="BE87" i="36"/>
  <c r="BE114" i="36" s="1"/>
  <c r="T56" i="36"/>
  <c r="AS208" i="36"/>
  <c r="AS224" i="36" s="1"/>
  <c r="AX212" i="36"/>
  <c r="AI208" i="36"/>
  <c r="Y208" i="36"/>
  <c r="Y224" i="36" s="1"/>
  <c r="AX47" i="36"/>
  <c r="AX213" i="36"/>
  <c r="BA79" i="36"/>
  <c r="BA127" i="36" s="1"/>
  <c r="BC211" i="36"/>
  <c r="BC227" i="36" s="1"/>
  <c r="BB209" i="36"/>
  <c r="BB225" i="36" s="1"/>
  <c r="BD140" i="36"/>
  <c r="BD211" i="36"/>
  <c r="BD227" i="36" s="1"/>
  <c r="BE123" i="36"/>
  <c r="T55" i="36"/>
  <c r="T59" i="36"/>
  <c r="K63" i="16"/>
  <c r="BJ385" i="36"/>
  <c r="AI213" i="36"/>
  <c r="AS213" i="36"/>
  <c r="BB98" i="36"/>
  <c r="BG86" i="36"/>
  <c r="BE152" i="36"/>
  <c r="H63" i="16"/>
  <c r="AN221" i="36"/>
  <c r="BF144" i="36"/>
  <c r="BF141" i="36" s="1"/>
  <c r="BB172" i="36"/>
  <c r="BE144" i="36"/>
  <c r="AS221" i="36"/>
  <c r="T160" i="36"/>
  <c r="BD152" i="36"/>
  <c r="BD181" i="36" s="1"/>
  <c r="BG142" i="36"/>
  <c r="BB210" i="36"/>
  <c r="BB226" i="36" s="1"/>
  <c r="S57" i="36"/>
  <c r="G63" i="16"/>
  <c r="E63" i="16"/>
  <c r="Y221" i="36"/>
  <c r="AZ79" i="36"/>
  <c r="AZ121" i="36" s="1"/>
  <c r="BD144" i="36"/>
  <c r="AZ208" i="36"/>
  <c r="AZ224" i="36" s="1"/>
  <c r="AY172" i="36"/>
  <c r="BB79" i="36"/>
  <c r="BB121" i="36" s="1"/>
  <c r="BI120" i="36"/>
  <c r="BJ120" i="36" s="1"/>
  <c r="BK120" i="36" s="1"/>
  <c r="BL120" i="36" s="1"/>
  <c r="AI221" i="36"/>
  <c r="AD221" i="36"/>
  <c r="BE140" i="36"/>
  <c r="BE211" i="36"/>
  <c r="BE227" i="36" s="1"/>
  <c r="BF86" i="36"/>
  <c r="S56" i="36"/>
  <c r="BF142" i="36"/>
  <c r="BF169" i="36" s="1"/>
  <c r="BA210" i="36"/>
  <c r="BA226" i="36" s="1"/>
  <c r="AD208" i="36"/>
  <c r="BF211" i="36"/>
  <c r="BF227" i="36" s="1"/>
  <c r="BD145" i="36"/>
  <c r="BG145" i="36"/>
  <c r="BE145" i="36"/>
  <c r="AD213" i="36"/>
  <c r="Y213" i="36"/>
  <c r="Y229" i="36" s="1"/>
  <c r="AN218" i="36"/>
  <c r="AN214" i="36"/>
  <c r="I38" i="16"/>
  <c r="AX214" i="36"/>
  <c r="K38" i="16"/>
  <c r="AD220" i="36"/>
  <c r="L49" i="16"/>
  <c r="L42" i="16"/>
  <c r="AX219" i="36"/>
  <c r="AH247" i="36"/>
  <c r="AH219" i="36"/>
  <c r="AH234" i="36" s="1"/>
  <c r="AX220" i="36"/>
  <c r="AI220" i="36"/>
  <c r="AS217" i="36"/>
  <c r="AS215" i="36"/>
  <c r="AI214" i="36"/>
  <c r="H38" i="16"/>
  <c r="R57" i="36"/>
  <c r="E44" i="16"/>
  <c r="AN220" i="36"/>
  <c r="AJ241" i="36"/>
  <c r="AJ218" i="36"/>
  <c r="AJ233" i="36" s="1"/>
  <c r="Z247" i="36"/>
  <c r="Z219" i="36"/>
  <c r="AD214" i="36"/>
  <c r="G38" i="16"/>
  <c r="AI217" i="36"/>
  <c r="AI215" i="36"/>
  <c r="AS214" i="36"/>
  <c r="J38" i="16"/>
  <c r="BG126" i="36"/>
  <c r="R56" i="36"/>
  <c r="AD215" i="36"/>
  <c r="AD217" i="36"/>
  <c r="Z241" i="36"/>
  <c r="Z218" i="36"/>
  <c r="Z233" i="36" s="1"/>
  <c r="J44" i="16"/>
  <c r="AS218" i="36"/>
  <c r="Z250" i="36"/>
  <c r="Z220" i="36"/>
  <c r="Z235" i="36" s="1"/>
  <c r="Y215" i="36"/>
  <c r="Y231" i="36" s="1"/>
  <c r="Y217" i="36"/>
  <c r="Y232" i="36" s="1"/>
  <c r="AN217" i="36"/>
  <c r="AN215" i="36"/>
  <c r="BG117" i="36"/>
  <c r="R55" i="36"/>
  <c r="Y214" i="36"/>
  <c r="Y230" i="36" s="1"/>
  <c r="F38" i="16"/>
  <c r="AI218" i="36"/>
  <c r="K44" i="16"/>
  <c r="AD218" i="36"/>
  <c r="Y220" i="36"/>
  <c r="Y235" i="36" s="1"/>
  <c r="BG87" i="36"/>
  <c r="BG114" i="36" s="1"/>
  <c r="AW252" i="36"/>
  <c r="AW253" i="36" s="1"/>
  <c r="AW218" i="36"/>
  <c r="AT241" i="36"/>
  <c r="AT218" i="36"/>
  <c r="AV247" i="36"/>
  <c r="AV219" i="36"/>
  <c r="AV234" i="36" s="1"/>
  <c r="AO252" i="36"/>
  <c r="AO282" i="36" s="1"/>
  <c r="AO283" i="36" s="1"/>
  <c r="AO218" i="36"/>
  <c r="AU252" i="36"/>
  <c r="AU282" i="36" s="1"/>
  <c r="AU283" i="36" s="1"/>
  <c r="AU219" i="36"/>
  <c r="AU234" i="36" s="1"/>
  <c r="Y218" i="36"/>
  <c r="Y233" i="36" s="1"/>
  <c r="AS220" i="36"/>
  <c r="R58" i="36"/>
  <c r="AR421" i="36"/>
  <c r="Y54" i="36"/>
  <c r="Y55" i="36" s="1"/>
  <c r="AZ296" i="36"/>
  <c r="AZ65" i="36" s="1"/>
  <c r="AH421" i="36"/>
  <c r="AM421" i="36"/>
  <c r="AC421" i="36"/>
  <c r="AZ326" i="36"/>
  <c r="BF87" i="36"/>
  <c r="BF114" i="36" s="1"/>
  <c r="BC140" i="36"/>
  <c r="BC156" i="36" s="1"/>
  <c r="BG152" i="36"/>
  <c r="BG181" i="36" s="1"/>
  <c r="BA249" i="36"/>
  <c r="BA169" i="36"/>
  <c r="BA149" i="36" s="1"/>
  <c r="AD164" i="36"/>
  <c r="G53" i="16" s="1"/>
  <c r="AO59" i="36"/>
  <c r="AO58" i="36"/>
  <c r="AM59" i="36"/>
  <c r="AM58" i="36"/>
  <c r="AB58" i="36"/>
  <c r="AB59" i="36"/>
  <c r="AE59" i="36"/>
  <c r="AE58" i="36"/>
  <c r="AU59" i="36"/>
  <c r="AU58" i="36"/>
  <c r="BF126" i="36"/>
  <c r="BF249" i="36" s="1"/>
  <c r="AK58" i="36"/>
  <c r="AK59" i="36"/>
  <c r="AV59" i="36"/>
  <c r="AV58" i="36"/>
  <c r="AX167" i="36"/>
  <c r="AZ114" i="36"/>
  <c r="AZ94" i="36" s="1"/>
  <c r="AQ59" i="36"/>
  <c r="AQ58" i="36"/>
  <c r="AA59" i="36"/>
  <c r="AA58" i="36"/>
  <c r="AL58" i="36"/>
  <c r="AL59" i="36"/>
  <c r="AG59" i="36"/>
  <c r="AG58" i="36"/>
  <c r="AR58" i="36"/>
  <c r="AR59" i="36"/>
  <c r="AT59" i="36"/>
  <c r="AT58" i="36"/>
  <c r="BD87" i="36"/>
  <c r="BD114" i="36" s="1"/>
  <c r="AP59" i="36"/>
  <c r="AP58" i="36"/>
  <c r="AH59" i="36"/>
  <c r="AH58" i="36"/>
  <c r="AJ59" i="36"/>
  <c r="AJ58" i="36"/>
  <c r="AF59" i="36"/>
  <c r="AF58" i="36"/>
  <c r="Z59" i="36"/>
  <c r="Z58" i="36"/>
  <c r="AC58" i="36"/>
  <c r="AC59" i="36"/>
  <c r="AW59" i="36"/>
  <c r="AW58" i="36"/>
  <c r="AP55" i="36"/>
  <c r="AP57" i="36"/>
  <c r="AP56" i="36"/>
  <c r="AB55" i="36"/>
  <c r="AB57" i="36"/>
  <c r="AB56" i="36"/>
  <c r="AF55" i="36"/>
  <c r="AF57" i="36"/>
  <c r="AF56" i="36"/>
  <c r="AX54" i="36"/>
  <c r="AW56" i="36"/>
  <c r="AW55" i="36"/>
  <c r="AW57" i="36"/>
  <c r="AV55" i="36"/>
  <c r="AV57" i="36"/>
  <c r="AV56" i="36"/>
  <c r="BD178" i="36"/>
  <c r="AO56" i="36"/>
  <c r="AO55" i="36"/>
  <c r="AO57" i="36"/>
  <c r="AN54" i="36"/>
  <c r="AM55" i="36"/>
  <c r="AM57" i="36"/>
  <c r="AM56" i="36"/>
  <c r="AL55" i="36"/>
  <c r="AL57" i="36"/>
  <c r="AL56" i="36"/>
  <c r="AG56" i="36"/>
  <c r="AG55" i="36"/>
  <c r="AG57" i="36"/>
  <c r="AE55" i="36"/>
  <c r="AE57" i="36"/>
  <c r="AE56" i="36"/>
  <c r="AD54" i="36"/>
  <c r="AC55" i="36"/>
  <c r="AC57" i="36"/>
  <c r="AC56" i="36"/>
  <c r="AU55" i="36"/>
  <c r="AU57" i="36"/>
  <c r="AU56" i="36"/>
  <c r="AS54" i="36"/>
  <c r="AS57" i="36" s="1"/>
  <c r="AR55" i="36"/>
  <c r="AR57" i="36"/>
  <c r="AR56" i="36"/>
  <c r="AT55" i="36"/>
  <c r="AT57" i="36"/>
  <c r="AT56" i="36"/>
  <c r="AK55" i="36"/>
  <c r="AK57" i="36"/>
  <c r="AK56" i="36"/>
  <c r="AI54" i="36"/>
  <c r="AH55" i="36"/>
  <c r="AH57" i="36"/>
  <c r="AH56" i="36"/>
  <c r="AJ55" i="36"/>
  <c r="AJ57" i="36"/>
  <c r="AJ56" i="36"/>
  <c r="AQ55" i="36"/>
  <c r="AQ57" i="36"/>
  <c r="AQ56" i="36"/>
  <c r="AA55" i="36"/>
  <c r="AA57" i="36"/>
  <c r="AA56" i="36"/>
  <c r="Z55" i="36"/>
  <c r="Z57" i="36"/>
  <c r="Z56" i="36"/>
  <c r="AZ181" i="36"/>
  <c r="AZ249" i="36" s="1"/>
  <c r="BH85" i="36"/>
  <c r="BF123" i="36"/>
  <c r="BF117" i="36"/>
  <c r="BH88" i="36"/>
  <c r="BH104" i="36" s="1"/>
  <c r="AY114" i="36"/>
  <c r="AY94" i="36" s="1"/>
  <c r="AN164" i="36"/>
  <c r="I53" i="16" s="1"/>
  <c r="BD142" i="36"/>
  <c r="AI163" i="36"/>
  <c r="BG150" i="36"/>
  <c r="BG172" i="36" s="1"/>
  <c r="BB118" i="36"/>
  <c r="AY181" i="36"/>
  <c r="AY249" i="36" s="1"/>
  <c r="R51" i="36"/>
  <c r="AI165" i="36"/>
  <c r="H52" i="16" s="1"/>
  <c r="AS196" i="36"/>
  <c r="AS162" i="36"/>
  <c r="AS244" i="36"/>
  <c r="AI162" i="36"/>
  <c r="BD150" i="36"/>
  <c r="BD172" i="36" s="1"/>
  <c r="AS238" i="36"/>
  <c r="AW241" i="36"/>
  <c r="AG160" i="36"/>
  <c r="BC191" i="36"/>
  <c r="AN165" i="36"/>
  <c r="I52" i="16" s="1"/>
  <c r="BH191" i="36"/>
  <c r="BI191" i="36" s="1"/>
  <c r="BJ191" i="36" s="1"/>
  <c r="BK191" i="36" s="1"/>
  <c r="BL191" i="36" s="1"/>
  <c r="BC87" i="36"/>
  <c r="BC103" i="36" s="1"/>
  <c r="BB243" i="36"/>
  <c r="BB357" i="36" s="1"/>
  <c r="BA246" i="36"/>
  <c r="BA240" i="36"/>
  <c r="BB169" i="36"/>
  <c r="BB149" i="36" s="1"/>
  <c r="BB249" i="36"/>
  <c r="AX161" i="36"/>
  <c r="BE151" i="36"/>
  <c r="BE178" i="36" s="1"/>
  <c r="AZ243" i="36"/>
  <c r="AZ357" i="36" s="1"/>
  <c r="AZ18" i="36" s="1"/>
  <c r="BA299" i="36"/>
  <c r="BA328" i="36" s="1"/>
  <c r="BA298" i="36"/>
  <c r="AZ327" i="36"/>
  <c r="BG147" i="36"/>
  <c r="BB178" i="36"/>
  <c r="BG151" i="36"/>
  <c r="BG178" i="36" s="1"/>
  <c r="BB114" i="36"/>
  <c r="BC192" i="36"/>
  <c r="BC243" i="36" s="1"/>
  <c r="BG96" i="36"/>
  <c r="BG123" i="36" s="1"/>
  <c r="BB123" i="36"/>
  <c r="BB134" i="36"/>
  <c r="BB146" i="36" s="1"/>
  <c r="BA114" i="36"/>
  <c r="AF160" i="36"/>
  <c r="AZ328" i="36"/>
  <c r="AI164" i="36"/>
  <c r="H53" i="16" s="1"/>
  <c r="BA243" i="36"/>
  <c r="BA357" i="36" s="1"/>
  <c r="BF192" i="36"/>
  <c r="BF243" i="36" s="1"/>
  <c r="BF357" i="36" s="1"/>
  <c r="BC85" i="36"/>
  <c r="BC101" i="36" s="1"/>
  <c r="AL160" i="36"/>
  <c r="AN163" i="36"/>
  <c r="AY246" i="36"/>
  <c r="AY141" i="36"/>
  <c r="AX165" i="36"/>
  <c r="K52" i="16" s="1"/>
  <c r="BE243" i="36"/>
  <c r="BE357" i="36" s="1"/>
  <c r="BC195" i="36"/>
  <c r="BB300" i="36"/>
  <c r="BC300" i="36" s="1"/>
  <c r="BA297" i="36"/>
  <c r="AZ240" i="36"/>
  <c r="AT105" i="36"/>
  <c r="BH195" i="36"/>
  <c r="BA141" i="36"/>
  <c r="BA153" i="36" s="1"/>
  <c r="BB80" i="36"/>
  <c r="BD243" i="36"/>
  <c r="BD357" i="36" s="1"/>
  <c r="AZ141" i="36"/>
  <c r="AZ153" i="36" s="1"/>
  <c r="BC142" i="36"/>
  <c r="BE142" i="36"/>
  <c r="AZ169" i="36"/>
  <c r="AY149" i="36"/>
  <c r="BH143" i="36"/>
  <c r="BH159" i="36" s="1"/>
  <c r="BE172" i="36"/>
  <c r="BE181" i="36"/>
  <c r="AU160" i="36"/>
  <c r="AA160" i="36"/>
  <c r="AI166" i="36"/>
  <c r="AK160" i="36"/>
  <c r="AX164" i="36"/>
  <c r="K53" i="16" s="1"/>
  <c r="AD166" i="36"/>
  <c r="AS166" i="36"/>
  <c r="AS165" i="36"/>
  <c r="J52" i="16" s="1"/>
  <c r="AQ160" i="36"/>
  <c r="AI185" i="36"/>
  <c r="AN161" i="36"/>
  <c r="AD130" i="36"/>
  <c r="Y185" i="36"/>
  <c r="AS185" i="36"/>
  <c r="AD108" i="36"/>
  <c r="AS144" i="36"/>
  <c r="AS156" i="36"/>
  <c r="AS163" i="36"/>
  <c r="AR160" i="36"/>
  <c r="AS161" i="36"/>
  <c r="AI167" i="36"/>
  <c r="AI144" i="36"/>
  <c r="AI156" i="36"/>
  <c r="Y130" i="36"/>
  <c r="AX185" i="36"/>
  <c r="AI130" i="36"/>
  <c r="AN144" i="36"/>
  <c r="AN156" i="36"/>
  <c r="AD144" i="36"/>
  <c r="AD156" i="36"/>
  <c r="AX144" i="36"/>
  <c r="AX156" i="36"/>
  <c r="AW160" i="36"/>
  <c r="Y167" i="36"/>
  <c r="AN167" i="36"/>
  <c r="AD165" i="36"/>
  <c r="G52" i="16" s="1"/>
  <c r="AS164" i="36"/>
  <c r="J53" i="16" s="1"/>
  <c r="AN130" i="36"/>
  <c r="AD162" i="36"/>
  <c r="AX162" i="36"/>
  <c r="AX163" i="36"/>
  <c r="S160" i="36"/>
  <c r="AN238" i="36"/>
  <c r="AS167" i="36"/>
  <c r="Y164" i="36"/>
  <c r="F53" i="16" s="1"/>
  <c r="AJ160" i="36"/>
  <c r="AO160" i="36"/>
  <c r="AX166" i="36"/>
  <c r="AS130" i="36"/>
  <c r="AN185" i="36"/>
  <c r="AN162" i="36"/>
  <c r="AD185" i="36"/>
  <c r="AD163" i="36"/>
  <c r="AI112" i="36"/>
  <c r="AN166" i="36"/>
  <c r="Y165" i="36"/>
  <c r="F52" i="16" s="1"/>
  <c r="AD167" i="36"/>
  <c r="AV160" i="36"/>
  <c r="Y166" i="36"/>
  <c r="Y110" i="36"/>
  <c r="F45" i="16" s="1"/>
  <c r="S105" i="36"/>
  <c r="AI109" i="36"/>
  <c r="H46" i="16" s="1"/>
  <c r="Y112" i="36"/>
  <c r="AI110" i="36"/>
  <c r="H45" i="16" s="1"/>
  <c r="AD111" i="36"/>
  <c r="AD110" i="36"/>
  <c r="G45" i="16" s="1"/>
  <c r="AN112" i="36"/>
  <c r="Y109" i="36"/>
  <c r="F46" i="16" s="1"/>
  <c r="Y111" i="36"/>
  <c r="Y106" i="36"/>
  <c r="F43" i="16" s="1"/>
  <c r="AN111" i="36"/>
  <c r="AD112" i="36"/>
  <c r="AN109" i="36"/>
  <c r="I46" i="16" s="1"/>
  <c r="AS110" i="36"/>
  <c r="J45" i="16" s="1"/>
  <c r="AS112" i="36"/>
  <c r="AS111" i="36"/>
  <c r="AX111" i="36"/>
  <c r="AX112" i="36"/>
  <c r="AN110" i="36"/>
  <c r="I45" i="16" s="1"/>
  <c r="AD109" i="36"/>
  <c r="G46" i="16" s="1"/>
  <c r="AI111" i="36"/>
  <c r="AX250" i="36"/>
  <c r="AN196" i="36"/>
  <c r="AN241" i="36"/>
  <c r="AS109" i="36"/>
  <c r="J46" i="16" s="1"/>
  <c r="AN244" i="36"/>
  <c r="AG105" i="36"/>
  <c r="AB105" i="36"/>
  <c r="AN250" i="36"/>
  <c r="AD276" i="36"/>
  <c r="AD107" i="36"/>
  <c r="Y196" i="36"/>
  <c r="AD101" i="36"/>
  <c r="AD106" i="36"/>
  <c r="G43" i="16" s="1"/>
  <c r="AS276" i="36"/>
  <c r="AS108" i="36"/>
  <c r="AU247" i="36"/>
  <c r="AK105" i="36"/>
  <c r="AX107" i="36"/>
  <c r="T105" i="36"/>
  <c r="T282" i="36"/>
  <c r="T259" i="36"/>
  <c r="T253" i="36"/>
  <c r="R282" i="36"/>
  <c r="R259" i="36"/>
  <c r="R253" i="36"/>
  <c r="S282" i="36"/>
  <c r="S259" i="36"/>
  <c r="S253" i="36"/>
  <c r="AN276" i="36"/>
  <c r="S417" i="36"/>
  <c r="S419" i="36" s="1"/>
  <c r="S352" i="36" s="1"/>
  <c r="AI101" i="36"/>
  <c r="Y89" i="36"/>
  <c r="AS246" i="36"/>
  <c r="AS219" i="36" s="1"/>
  <c r="AI107" i="36"/>
  <c r="AS106" i="36"/>
  <c r="J43" i="16" s="1"/>
  <c r="AX106" i="36"/>
  <c r="K43" i="16" s="1"/>
  <c r="AX247" i="36"/>
  <c r="Y250" i="36"/>
  <c r="AI106" i="36"/>
  <c r="H43" i="16" s="1"/>
  <c r="X282" i="36"/>
  <c r="X283" i="36" s="1"/>
  <c r="Y276" i="36"/>
  <c r="AD238" i="36"/>
  <c r="X253" i="36"/>
  <c r="AX101" i="36"/>
  <c r="AI108" i="36"/>
  <c r="Z252" i="36"/>
  <c r="Z259" i="36" s="1"/>
  <c r="AD203" i="36"/>
  <c r="AC259" i="36"/>
  <c r="AC253" i="36"/>
  <c r="AC282" i="36"/>
  <c r="Y203" i="36"/>
  <c r="U259" i="36"/>
  <c r="U266" i="36" s="1"/>
  <c r="U253" i="36"/>
  <c r="U282" i="36"/>
  <c r="AD196" i="36"/>
  <c r="AA259" i="36"/>
  <c r="AA253" i="36"/>
  <c r="AA282" i="36"/>
  <c r="X262" i="36"/>
  <c r="X266" i="36"/>
  <c r="X351" i="36" s="1"/>
  <c r="V253" i="36"/>
  <c r="V282" i="36"/>
  <c r="V259" i="36"/>
  <c r="AB259" i="36"/>
  <c r="AB253" i="36"/>
  <c r="AB282" i="36"/>
  <c r="AD246" i="36"/>
  <c r="Y238" i="36"/>
  <c r="AD244" i="36"/>
  <c r="AD89" i="36"/>
  <c r="Y244" i="36"/>
  <c r="AF105" i="36"/>
  <c r="Y246" i="36"/>
  <c r="Y144" i="36"/>
  <c r="AD241" i="36"/>
  <c r="Y241" i="36"/>
  <c r="AD250" i="36"/>
  <c r="AN107" i="36"/>
  <c r="AN108" i="36"/>
  <c r="AH252" i="36"/>
  <c r="AH253" i="36" s="1"/>
  <c r="AI250" i="36"/>
  <c r="AI244" i="36"/>
  <c r="AI276" i="36"/>
  <c r="AN246" i="36"/>
  <c r="AN219" i="36" s="1"/>
  <c r="AI241" i="36"/>
  <c r="AE252" i="36"/>
  <c r="AE259" i="36" s="1"/>
  <c r="AI196" i="36"/>
  <c r="AN101" i="36"/>
  <c r="AS101" i="36"/>
  <c r="AO105" i="36"/>
  <c r="AJ105" i="36"/>
  <c r="AS107" i="36"/>
  <c r="AP105" i="36"/>
  <c r="AM105" i="36"/>
  <c r="AF259" i="36"/>
  <c r="AF282" i="36"/>
  <c r="AF253" i="36"/>
  <c r="AL282" i="36"/>
  <c r="AL253" i="36"/>
  <c r="AL259" i="36"/>
  <c r="AG259" i="36"/>
  <c r="AG282" i="36"/>
  <c r="AG253" i="36"/>
  <c r="AM253" i="36"/>
  <c r="AM259" i="36"/>
  <c r="AM282" i="36"/>
  <c r="AK253" i="36"/>
  <c r="AK259" i="36"/>
  <c r="AK282" i="36"/>
  <c r="AJ252" i="36"/>
  <c r="AI203" i="36"/>
  <c r="AI238" i="36"/>
  <c r="AI89" i="36"/>
  <c r="AN89" i="36"/>
  <c r="AN203" i="36"/>
  <c r="AI246" i="36"/>
  <c r="AN106" i="36"/>
  <c r="I43" i="16" s="1"/>
  <c r="AS203" i="36"/>
  <c r="AX203" i="36"/>
  <c r="AS241" i="36"/>
  <c r="AS250" i="36"/>
  <c r="AX105" i="36"/>
  <c r="AV252" i="36"/>
  <c r="AV282" i="36" s="1"/>
  <c r="AR282" i="36"/>
  <c r="AR259" i="36"/>
  <c r="AR253" i="36"/>
  <c r="AQ282" i="36"/>
  <c r="AQ259" i="36"/>
  <c r="AQ253" i="36"/>
  <c r="AP282" i="36"/>
  <c r="AP259" i="36"/>
  <c r="AP253" i="36"/>
  <c r="V51" i="36"/>
  <c r="AO241" i="36"/>
  <c r="T51" i="36"/>
  <c r="AT252" i="36"/>
  <c r="AT282" i="36" s="1"/>
  <c r="AT244" i="36"/>
  <c r="U51" i="36"/>
  <c r="AX196" i="36"/>
  <c r="S51" i="36"/>
  <c r="X51" i="36"/>
  <c r="Z51" i="36"/>
  <c r="AC51" i="36"/>
  <c r="Y49" i="36"/>
  <c r="Y51" i="36" s="1"/>
  <c r="AW51" i="36"/>
  <c r="AA51" i="36"/>
  <c r="W51" i="36"/>
  <c r="AF51" i="36"/>
  <c r="AX49" i="36"/>
  <c r="AH51" i="36"/>
  <c r="AI49" i="36"/>
  <c r="AI51" i="36" s="1"/>
  <c r="AG51" i="36"/>
  <c r="AB51" i="36"/>
  <c r="AD49" i="36"/>
  <c r="AD51" i="36" s="1"/>
  <c r="AN49" i="36"/>
  <c r="AE51" i="36"/>
  <c r="BC172" i="36" l="1"/>
  <c r="S228" i="36"/>
  <c r="L279" i="36"/>
  <c r="L280" i="36"/>
  <c r="J280" i="36"/>
  <c r="J279" i="36"/>
  <c r="L70" i="36"/>
  <c r="L69" i="36"/>
  <c r="L71" i="36"/>
  <c r="J69" i="36"/>
  <c r="J71" i="36"/>
  <c r="J70" i="36"/>
  <c r="BE141" i="36"/>
  <c r="BE153" i="36" s="1"/>
  <c r="AT228" i="36"/>
  <c r="AK228" i="36"/>
  <c r="AY240" i="36"/>
  <c r="F70" i="36"/>
  <c r="F71" i="36"/>
  <c r="F69" i="36"/>
  <c r="G71" i="36"/>
  <c r="G69" i="36"/>
  <c r="G70" i="36"/>
  <c r="BG169" i="36"/>
  <c r="BG237" i="36" s="1"/>
  <c r="L5" i="36"/>
  <c r="M77" i="36"/>
  <c r="M353" i="36" s="1"/>
  <c r="AS212" i="36"/>
  <c r="AX228" i="36" s="1"/>
  <c r="AU253" i="36"/>
  <c r="AN231" i="36"/>
  <c r="BD141" i="36"/>
  <c r="BD153" i="36" s="1"/>
  <c r="AI224" i="36"/>
  <c r="AO233" i="36"/>
  <c r="Y212" i="36"/>
  <c r="Y228" i="36" s="1"/>
  <c r="AD224" i="36"/>
  <c r="AX230" i="36"/>
  <c r="AM234" i="36"/>
  <c r="AU259" i="36"/>
  <c r="AU266" i="36" s="1"/>
  <c r="AD230" i="36"/>
  <c r="AN230" i="36"/>
  <c r="AL228" i="36"/>
  <c r="BB124" i="36"/>
  <c r="BB127" i="36"/>
  <c r="BH117" i="36"/>
  <c r="AI229" i="36"/>
  <c r="AT233" i="36"/>
  <c r="AD212" i="36"/>
  <c r="Z234" i="36"/>
  <c r="AE234" i="36"/>
  <c r="AX235" i="36"/>
  <c r="AX229" i="36"/>
  <c r="AX224" i="36"/>
  <c r="AI233" i="36"/>
  <c r="AD232" i="36"/>
  <c r="AS230" i="36"/>
  <c r="AE233" i="36"/>
  <c r="AE235" i="36"/>
  <c r="BC150" i="36"/>
  <c r="BC165" i="36" s="1"/>
  <c r="L52" i="16" s="1"/>
  <c r="AS233" i="36"/>
  <c r="AD231" i="36"/>
  <c r="AI230" i="36"/>
  <c r="AI212" i="36"/>
  <c r="AN228" i="36" s="1"/>
  <c r="AS229" i="36"/>
  <c r="AN229" i="36"/>
  <c r="AN233" i="36"/>
  <c r="BA359" i="36"/>
  <c r="BA325" i="36" s="1"/>
  <c r="BG240" i="36"/>
  <c r="BG153" i="36"/>
  <c r="AI231" i="36"/>
  <c r="BB240" i="36"/>
  <c r="BB153" i="36"/>
  <c r="AS234" i="36"/>
  <c r="AI232" i="36"/>
  <c r="AN235" i="36"/>
  <c r="AS231" i="36"/>
  <c r="AX234" i="36"/>
  <c r="AD235" i="36"/>
  <c r="BF153" i="36"/>
  <c r="AE228" i="36"/>
  <c r="AJ228" i="36"/>
  <c r="AN224" i="36"/>
  <c r="AS235" i="36"/>
  <c r="AI235" i="36"/>
  <c r="AD233" i="36"/>
  <c r="AN232" i="36"/>
  <c r="AS232" i="36"/>
  <c r="AD229" i="36"/>
  <c r="AY153" i="36"/>
  <c r="BA218" i="36"/>
  <c r="BA233" i="36" s="1"/>
  <c r="BA80" i="36"/>
  <c r="BH140" i="36"/>
  <c r="BH156" i="36" s="1"/>
  <c r="BF220" i="36"/>
  <c r="AZ80" i="36"/>
  <c r="AZ124" i="36"/>
  <c r="BA129" i="36"/>
  <c r="AZ118" i="36"/>
  <c r="BA118" i="36"/>
  <c r="BA121" i="36"/>
  <c r="BA124" i="36"/>
  <c r="AZ127" i="36"/>
  <c r="BE79" i="36"/>
  <c r="BE115" i="36" s="1"/>
  <c r="BE98" i="36"/>
  <c r="BF79" i="36"/>
  <c r="BF129" i="36" s="1"/>
  <c r="BF130" i="36" s="1"/>
  <c r="BF102" i="36"/>
  <c r="BG79" i="36"/>
  <c r="BG115" i="36" s="1"/>
  <c r="BG102" i="36"/>
  <c r="BG209" i="36"/>
  <c r="BG225" i="36" s="1"/>
  <c r="BH123" i="36"/>
  <c r="F44" i="16"/>
  <c r="F50" i="16"/>
  <c r="BB212" i="36"/>
  <c r="BB228" i="36" s="1"/>
  <c r="I51" i="16"/>
  <c r="BA134" i="36"/>
  <c r="BA146" i="36" s="1"/>
  <c r="BA209" i="36"/>
  <c r="BA225" i="36" s="1"/>
  <c r="BB91" i="36"/>
  <c r="G51" i="16"/>
  <c r="R283" i="36"/>
  <c r="BB220" i="36"/>
  <c r="BB235" i="36" s="1"/>
  <c r="J51" i="16"/>
  <c r="BF134" i="36"/>
  <c r="BF184" i="36" s="1"/>
  <c r="BF185" i="36" s="1"/>
  <c r="BF209" i="36"/>
  <c r="BD94" i="36"/>
  <c r="BH114" i="36"/>
  <c r="BH94" i="36" s="1"/>
  <c r="BE208" i="36"/>
  <c r="BE224" i="36" s="1"/>
  <c r="BK385" i="36"/>
  <c r="BC208" i="36"/>
  <c r="BC224" i="36" s="1"/>
  <c r="BH211" i="36"/>
  <c r="BH227" i="36" s="1"/>
  <c r="AY134" i="36"/>
  <c r="AY176" i="36" s="1"/>
  <c r="BG134" i="36"/>
  <c r="BG146" i="36" s="1"/>
  <c r="BG249" i="36"/>
  <c r="BG220" i="36" s="1"/>
  <c r="AI219" i="36"/>
  <c r="AN234" i="36" s="1"/>
  <c r="T283" i="36"/>
  <c r="BE169" i="36"/>
  <c r="BE149" i="36" s="1"/>
  <c r="BE210" i="36"/>
  <c r="BE226" i="36" s="1"/>
  <c r="AW259" i="36"/>
  <c r="AW262" i="36" s="1"/>
  <c r="AD219" i="36"/>
  <c r="BC158" i="36"/>
  <c r="BC210" i="36"/>
  <c r="BC226" i="36" s="1"/>
  <c r="AY218" i="36"/>
  <c r="AY233" i="36" s="1"/>
  <c r="BD169" i="36"/>
  <c r="BD237" i="36" s="1"/>
  <c r="BD217" i="36" s="1"/>
  <c r="BD210" i="36"/>
  <c r="BD226" i="36" s="1"/>
  <c r="BD249" i="36"/>
  <c r="BD220" i="36" s="1"/>
  <c r="BH181" i="36"/>
  <c r="AZ91" i="36"/>
  <c r="AZ209" i="36"/>
  <c r="AZ225" i="36" s="1"/>
  <c r="AY219" i="36"/>
  <c r="AY234" i="36" s="1"/>
  <c r="AZ219" i="36"/>
  <c r="AZ234" i="36" s="1"/>
  <c r="F51" i="16"/>
  <c r="S283" i="36"/>
  <c r="K51" i="16"/>
  <c r="BE134" i="36"/>
  <c r="BE209" i="36"/>
  <c r="BD240" i="36"/>
  <c r="BD218" i="36" s="1"/>
  <c r="BH172" i="36"/>
  <c r="BD246" i="36"/>
  <c r="BD219" i="36" s="1"/>
  <c r="BH178" i="36"/>
  <c r="BH151" i="36" s="1"/>
  <c r="BF210" i="36"/>
  <c r="BF226" i="36" s="1"/>
  <c r="BH126" i="36"/>
  <c r="BA91" i="36"/>
  <c r="AZ218" i="36"/>
  <c r="AZ233" i="36" s="1"/>
  <c r="AW282" i="36"/>
  <c r="AW283" i="36" s="1"/>
  <c r="BA219" i="36"/>
  <c r="BA234" i="36" s="1"/>
  <c r="Y219" i="36"/>
  <c r="Y234" i="36" s="1"/>
  <c r="H51" i="16"/>
  <c r="AY220" i="36"/>
  <c r="AY235" i="36" s="1"/>
  <c r="BA220" i="36"/>
  <c r="BA235" i="36" s="1"/>
  <c r="BF208" i="36"/>
  <c r="BF224" i="36" s="1"/>
  <c r="AZ220" i="36"/>
  <c r="AZ235" i="36" s="1"/>
  <c r="BG210" i="36"/>
  <c r="BG226" i="36" s="1"/>
  <c r="BD208" i="36"/>
  <c r="BD224" i="36" s="1"/>
  <c r="BG218" i="36"/>
  <c r="BG208" i="36"/>
  <c r="BB202" i="36"/>
  <c r="BB363" i="36" s="1"/>
  <c r="BF98" i="36"/>
  <c r="BG98" i="36"/>
  <c r="AO278" i="36"/>
  <c r="AO279" i="36" s="1"/>
  <c r="AO285" i="36"/>
  <c r="AO286" i="36" s="1"/>
  <c r="AO253" i="36"/>
  <c r="AO259" i="36"/>
  <c r="AQ285" i="36"/>
  <c r="AQ286" i="36" s="1"/>
  <c r="AQ283" i="36"/>
  <c r="AP285" i="36"/>
  <c r="AP286" i="36" s="1"/>
  <c r="AP283" i="36"/>
  <c r="Y57" i="36"/>
  <c r="AR285" i="36"/>
  <c r="AR286" i="36" s="1"/>
  <c r="AR283" i="36"/>
  <c r="AG285" i="36"/>
  <c r="AG286" i="36" s="1"/>
  <c r="AG283" i="36"/>
  <c r="G44" i="16"/>
  <c r="V285" i="36"/>
  <c r="V286" i="36" s="1"/>
  <c r="V283" i="36"/>
  <c r="U285" i="36"/>
  <c r="U286" i="36" s="1"/>
  <c r="U283" i="36"/>
  <c r="J50" i="16"/>
  <c r="AT283" i="36"/>
  <c r="AK285" i="36"/>
  <c r="AK286" i="36" s="1"/>
  <c r="AK283" i="36"/>
  <c r="I50" i="16"/>
  <c r="Y58" i="36"/>
  <c r="AF285" i="36"/>
  <c r="AF286" i="36" s="1"/>
  <c r="AF283" i="36"/>
  <c r="BI143" i="36"/>
  <c r="BJ143" i="36" s="1"/>
  <c r="M49" i="16"/>
  <c r="H44" i="16"/>
  <c r="BI88" i="36"/>
  <c r="BJ88" i="36" s="1"/>
  <c r="M42" i="16"/>
  <c r="AV285" i="36"/>
  <c r="AV286" i="36" s="1"/>
  <c r="AV283" i="36"/>
  <c r="K50" i="16"/>
  <c r="BH101" i="36"/>
  <c r="Y56" i="36"/>
  <c r="Y59" i="36"/>
  <c r="I44" i="16"/>
  <c r="AM285" i="36"/>
  <c r="AM286" i="36" s="1"/>
  <c r="AM283" i="36"/>
  <c r="AL285" i="36"/>
  <c r="AL286" i="36" s="1"/>
  <c r="AL283" i="36"/>
  <c r="AB285" i="36"/>
  <c r="AB286" i="36" s="1"/>
  <c r="AB283" i="36"/>
  <c r="AA285" i="36"/>
  <c r="AA286" i="36" s="1"/>
  <c r="AA283" i="36"/>
  <c r="AC285" i="36"/>
  <c r="AC286" i="36" s="1"/>
  <c r="AC283" i="36"/>
  <c r="AD247" i="36"/>
  <c r="Y247" i="36"/>
  <c r="AS247" i="36"/>
  <c r="AU285" i="36"/>
  <c r="AU286" i="36" s="1"/>
  <c r="AI247" i="36"/>
  <c r="AN247" i="36"/>
  <c r="BA326" i="36"/>
  <c r="BA296" i="36"/>
  <c r="AZ115" i="36"/>
  <c r="AZ129" i="36"/>
  <c r="R62" i="36"/>
  <c r="R285" i="36"/>
  <c r="R286" i="36" s="1"/>
  <c r="AT278" i="36"/>
  <c r="AT279" i="36" s="1"/>
  <c r="AT285" i="36"/>
  <c r="AT286" i="36" s="1"/>
  <c r="T62" i="36"/>
  <c r="T285" i="36"/>
  <c r="T286" i="36" s="1"/>
  <c r="S62" i="36"/>
  <c r="S285" i="36"/>
  <c r="S286" i="36" s="1"/>
  <c r="X278" i="36"/>
  <c r="X279" i="36" s="1"/>
  <c r="X285" i="36"/>
  <c r="X286" i="36" s="1"/>
  <c r="BF246" i="36"/>
  <c r="BH87" i="36"/>
  <c r="BA18" i="36"/>
  <c r="BB18" i="36" s="1"/>
  <c r="BC18" i="36" s="1"/>
  <c r="BD18" i="36" s="1"/>
  <c r="BE18" i="36" s="1"/>
  <c r="BF18" i="36" s="1"/>
  <c r="BG18" i="36" s="1"/>
  <c r="AI58" i="36"/>
  <c r="AI59" i="36"/>
  <c r="BE94" i="36"/>
  <c r="AN59" i="36"/>
  <c r="AN58" i="36"/>
  <c r="AD59" i="36"/>
  <c r="AD58" i="36"/>
  <c r="AX59" i="36"/>
  <c r="AY59" i="36" s="1"/>
  <c r="AZ59" i="36" s="1"/>
  <c r="BA59" i="36" s="1"/>
  <c r="BB59" i="36" s="1"/>
  <c r="BG59" i="36" s="1"/>
  <c r="AX58" i="36"/>
  <c r="AY58" i="36" s="1"/>
  <c r="AZ58" i="36" s="1"/>
  <c r="BA58" i="36" s="1"/>
  <c r="BB58" i="36" s="1"/>
  <c r="BG58" i="36" s="1"/>
  <c r="AD55" i="36"/>
  <c r="AD56" i="36"/>
  <c r="AD57" i="36"/>
  <c r="AN57" i="36"/>
  <c r="AN56" i="36"/>
  <c r="AN55" i="36"/>
  <c r="BC181" i="36"/>
  <c r="BC152" i="36" s="1"/>
  <c r="BC167" i="36" s="1"/>
  <c r="AX56" i="36"/>
  <c r="AY56" i="36" s="1"/>
  <c r="AZ56" i="36" s="1"/>
  <c r="BA56" i="36" s="1"/>
  <c r="BB56" i="36" s="1"/>
  <c r="BG56" i="36" s="1"/>
  <c r="AX57" i="36"/>
  <c r="AY57" i="36" s="1"/>
  <c r="AZ57" i="36" s="1"/>
  <c r="BA57" i="36" s="1"/>
  <c r="BB57" i="36" s="1"/>
  <c r="BG57" i="36" s="1"/>
  <c r="AX55" i="36"/>
  <c r="AI57" i="36"/>
  <c r="AI56" i="36"/>
  <c r="AI55" i="36"/>
  <c r="BF240" i="36"/>
  <c r="AY237" i="36"/>
  <c r="BG179" i="36"/>
  <c r="BG94" i="36"/>
  <c r="BB329" i="36"/>
  <c r="BC329" i="36" s="1"/>
  <c r="BC325" i="36"/>
  <c r="BB170" i="36"/>
  <c r="BB129" i="36"/>
  <c r="BF94" i="36"/>
  <c r="BF237" i="36"/>
  <c r="BB298" i="36"/>
  <c r="BC298" i="36" s="1"/>
  <c r="BH142" i="36"/>
  <c r="BH357" i="36"/>
  <c r="BB115" i="36"/>
  <c r="BB297" i="36"/>
  <c r="BA327" i="36"/>
  <c r="BG149" i="36"/>
  <c r="BF149" i="36"/>
  <c r="BD300" i="36"/>
  <c r="BD329" i="36" s="1"/>
  <c r="BB299" i="36"/>
  <c r="BC299" i="36" s="1"/>
  <c r="BH192" i="36"/>
  <c r="BI192" i="36" s="1"/>
  <c r="BJ192" i="36" s="1"/>
  <c r="BK192" i="36" s="1"/>
  <c r="BL192" i="36" s="1"/>
  <c r="BA94" i="36"/>
  <c r="BA237" i="36"/>
  <c r="BB179" i="36"/>
  <c r="BC178" i="36"/>
  <c r="BC151" i="36" s="1"/>
  <c r="BC166" i="36" s="1"/>
  <c r="BB94" i="36"/>
  <c r="BB237" i="36"/>
  <c r="BB184" i="36"/>
  <c r="BB135" i="36"/>
  <c r="BB176" i="36"/>
  <c r="BG135" i="36"/>
  <c r="BB182" i="36"/>
  <c r="BG246" i="36"/>
  <c r="BG219" i="36" s="1"/>
  <c r="BB246" i="36"/>
  <c r="BB219" i="36" s="1"/>
  <c r="BB234" i="36" s="1"/>
  <c r="BA115" i="36"/>
  <c r="BB173" i="36"/>
  <c r="BD89" i="36"/>
  <c r="BD86" i="36" s="1"/>
  <c r="AY86" i="36"/>
  <c r="BI195" i="36"/>
  <c r="BE246" i="36"/>
  <c r="AS252" i="36"/>
  <c r="BC169" i="36"/>
  <c r="BC147" i="36" s="1"/>
  <c r="BC163" i="36" s="1"/>
  <c r="AZ237" i="36"/>
  <c r="BE249" i="36"/>
  <c r="AZ134" i="36"/>
  <c r="AZ146" i="36" s="1"/>
  <c r="BC141" i="36"/>
  <c r="BC153" i="36" s="1"/>
  <c r="BE240" i="36"/>
  <c r="BD134" i="36"/>
  <c r="BD146" i="36" s="1"/>
  <c r="BH141" i="36"/>
  <c r="AZ149" i="36"/>
  <c r="BI175" i="36"/>
  <c r="AD160" i="36"/>
  <c r="AS160" i="36"/>
  <c r="AX160" i="36"/>
  <c r="AN160" i="36"/>
  <c r="AI160" i="36"/>
  <c r="Y160" i="36"/>
  <c r="Y105" i="36"/>
  <c r="AD105" i="36"/>
  <c r="R278" i="36"/>
  <c r="R279" i="36" s="1"/>
  <c r="S278" i="36"/>
  <c r="S279" i="36" s="1"/>
  <c r="T278" i="36"/>
  <c r="T279" i="36" s="1"/>
  <c r="S266" i="36"/>
  <c r="S351" i="36" s="1"/>
  <c r="S262" i="36"/>
  <c r="T266" i="36"/>
  <c r="T262" i="36"/>
  <c r="R266" i="36"/>
  <c r="R351" i="36" s="1"/>
  <c r="R262" i="36"/>
  <c r="T417" i="36"/>
  <c r="AV253" i="36"/>
  <c r="AE253" i="36"/>
  <c r="AH259" i="36"/>
  <c r="AH262" i="36" s="1"/>
  <c r="AH282" i="36"/>
  <c r="AH283" i="36" s="1"/>
  <c r="AV259" i="36"/>
  <c r="AV262" i="36" s="1"/>
  <c r="AE282" i="36"/>
  <c r="AE283" i="36" s="1"/>
  <c r="Z253" i="36"/>
  <c r="Z282" i="36"/>
  <c r="Z283" i="36" s="1"/>
  <c r="AD252" i="36"/>
  <c r="U278" i="36"/>
  <c r="U279" i="36" s="1"/>
  <c r="U262" i="36"/>
  <c r="U351" i="36"/>
  <c r="Y252" i="36"/>
  <c r="V278" i="36"/>
  <c r="V279" i="36" s="1"/>
  <c r="AA278" i="36"/>
  <c r="AA279" i="36" s="1"/>
  <c r="Z266" i="36"/>
  <c r="Z262" i="36"/>
  <c r="AA266" i="36"/>
  <c r="AA262" i="36"/>
  <c r="AI105" i="36"/>
  <c r="AB278" i="36"/>
  <c r="AB279" i="36" s="1"/>
  <c r="AC278" i="36"/>
  <c r="AC279" i="36" s="1"/>
  <c r="AB262" i="36"/>
  <c r="AB266" i="36"/>
  <c r="V262" i="36"/>
  <c r="V266" i="36"/>
  <c r="V351" i="36" s="1"/>
  <c r="AC262" i="36"/>
  <c r="AC266" i="36"/>
  <c r="AN252" i="36"/>
  <c r="AN105" i="36"/>
  <c r="AI252" i="36"/>
  <c r="AF266" i="36"/>
  <c r="AF262" i="36"/>
  <c r="AK262" i="36"/>
  <c r="AK266" i="36"/>
  <c r="AL262" i="36"/>
  <c r="AL266" i="36"/>
  <c r="AS105" i="36"/>
  <c r="AG266" i="36"/>
  <c r="AG262" i="36"/>
  <c r="AM262" i="36"/>
  <c r="AM266" i="36"/>
  <c r="AL278" i="36"/>
  <c r="AL279" i="36" s="1"/>
  <c r="AE262" i="36"/>
  <c r="AE266" i="36"/>
  <c r="AK278" i="36"/>
  <c r="AK279" i="36" s="1"/>
  <c r="AM278" i="36"/>
  <c r="AM279" i="36" s="1"/>
  <c r="AJ282" i="36"/>
  <c r="AJ253" i="36"/>
  <c r="AJ259" i="36"/>
  <c r="AG278" i="36"/>
  <c r="AG279" i="36" s="1"/>
  <c r="AF278" i="36"/>
  <c r="AF279" i="36" s="1"/>
  <c r="AU262" i="36"/>
  <c r="AU278" i="36"/>
  <c r="AU279" i="36" s="1"/>
  <c r="AQ262" i="36"/>
  <c r="AQ266" i="36"/>
  <c r="AQ278" i="36"/>
  <c r="AQ279" i="36" s="1"/>
  <c r="AR266" i="36"/>
  <c r="AR262" i="36"/>
  <c r="AR278" i="36"/>
  <c r="AR279" i="36" s="1"/>
  <c r="AV278" i="36"/>
  <c r="AV279" i="36" s="1"/>
  <c r="AP278" i="36"/>
  <c r="AP279" i="36" s="1"/>
  <c r="AP266" i="36"/>
  <c r="AP262" i="36"/>
  <c r="AT259" i="36"/>
  <c r="AT253" i="36"/>
  <c r="BF127" i="36" l="1"/>
  <c r="BF59" i="36"/>
  <c r="BA176" i="36"/>
  <c r="BG127" i="36"/>
  <c r="AY170" i="36"/>
  <c r="BA135" i="36"/>
  <c r="BG129" i="36"/>
  <c r="BG130" i="36" s="1"/>
  <c r="BE129" i="36"/>
  <c r="BE130" i="36" s="1"/>
  <c r="BG184" i="36"/>
  <c r="BG185" i="36" s="1"/>
  <c r="AS228" i="36"/>
  <c r="L77" i="36"/>
  <c r="L353" i="36" s="1"/>
  <c r="K5" i="36"/>
  <c r="AW285" i="36"/>
  <c r="AW286" i="36" s="1"/>
  <c r="BE59" i="36"/>
  <c r="BD59" i="36"/>
  <c r="BD56" i="36"/>
  <c r="AW278" i="36"/>
  <c r="BD58" i="36"/>
  <c r="BF56" i="36"/>
  <c r="BE56" i="36"/>
  <c r="BE58" i="36"/>
  <c r="AO280" i="36"/>
  <c r="BF57" i="36"/>
  <c r="BF115" i="36"/>
  <c r="BE57" i="36"/>
  <c r="BD57" i="36"/>
  <c r="BF58" i="36"/>
  <c r="BA130" i="36"/>
  <c r="BH210" i="36"/>
  <c r="BH226" i="36" s="1"/>
  <c r="BG118" i="36"/>
  <c r="BG173" i="36"/>
  <c r="AI228" i="36"/>
  <c r="BG182" i="36"/>
  <c r="AD228" i="36"/>
  <c r="BF179" i="36"/>
  <c r="BG170" i="36"/>
  <c r="BH153" i="36"/>
  <c r="BG176" i="36"/>
  <c r="AI234" i="36"/>
  <c r="BB221" i="36"/>
  <c r="BB218" i="36"/>
  <c r="BB233" i="36" s="1"/>
  <c r="AW266" i="36"/>
  <c r="AD234" i="36"/>
  <c r="BF235" i="36"/>
  <c r="BG235" i="36"/>
  <c r="BD149" i="36"/>
  <c r="BH166" i="36"/>
  <c r="BA184" i="36"/>
  <c r="BA185" i="36" s="1"/>
  <c r="BA170" i="36"/>
  <c r="BF135" i="36"/>
  <c r="AY179" i="36"/>
  <c r="AY146" i="36"/>
  <c r="BA173" i="36"/>
  <c r="BA179" i="36"/>
  <c r="BA182" i="36"/>
  <c r="BA202" i="36"/>
  <c r="BA252" i="36" s="1"/>
  <c r="BE202" i="36"/>
  <c r="BE196" i="36" s="1"/>
  <c r="BE146" i="36"/>
  <c r="BF202" i="36"/>
  <c r="BF244" i="36" s="1"/>
  <c r="BF146" i="36"/>
  <c r="BF176" i="36"/>
  <c r="AY184" i="36"/>
  <c r="AY135" i="36"/>
  <c r="AY173" i="36"/>
  <c r="BE170" i="36"/>
  <c r="BF182" i="36"/>
  <c r="BF170" i="36"/>
  <c r="BG221" i="36"/>
  <c r="AY182" i="36"/>
  <c r="BF173" i="36"/>
  <c r="BE91" i="36"/>
  <c r="BE127" i="36"/>
  <c r="BE121" i="36"/>
  <c r="BE80" i="36"/>
  <c r="BE118" i="36"/>
  <c r="BE124" i="36"/>
  <c r="BF118" i="36"/>
  <c r="BF124" i="36"/>
  <c r="BF225" i="36"/>
  <c r="BG212" i="36"/>
  <c r="BG228" i="36" s="1"/>
  <c r="BG224" i="36"/>
  <c r="BG124" i="36"/>
  <c r="BD234" i="36"/>
  <c r="AY209" i="36"/>
  <c r="AY225" i="36" s="1"/>
  <c r="AY102" i="36"/>
  <c r="BG234" i="36"/>
  <c r="BG202" i="36"/>
  <c r="BG250" i="36" s="1"/>
  <c r="BD98" i="36"/>
  <c r="BD102" i="36"/>
  <c r="BD233" i="36"/>
  <c r="BE225" i="36"/>
  <c r="BD235" i="36"/>
  <c r="BG91" i="36"/>
  <c r="BG121" i="36"/>
  <c r="BG80" i="36"/>
  <c r="BF91" i="36"/>
  <c r="BF80" i="36"/>
  <c r="BF121" i="36"/>
  <c r="BB215" i="36"/>
  <c r="BB231" i="36" s="1"/>
  <c r="BB217" i="36"/>
  <c r="BB232" i="36" s="1"/>
  <c r="BH208" i="36"/>
  <c r="BH224" i="36" s="1"/>
  <c r="BE176" i="36"/>
  <c r="BF219" i="36"/>
  <c r="BF234" i="36" s="1"/>
  <c r="BE173" i="36"/>
  <c r="BG215" i="36"/>
  <c r="BG217" i="36"/>
  <c r="BE237" i="36"/>
  <c r="BB241" i="36"/>
  <c r="BB214" i="36"/>
  <c r="BB230" i="36" s="1"/>
  <c r="BB213" i="36"/>
  <c r="BB229" i="36" s="1"/>
  <c r="BF221" i="36"/>
  <c r="BF212" i="36"/>
  <c r="BD209" i="36"/>
  <c r="BE218" i="36"/>
  <c r="BE233" i="36" s="1"/>
  <c r="AZ217" i="36"/>
  <c r="AZ232" i="36" s="1"/>
  <c r="AZ215" i="36"/>
  <c r="AZ231" i="36" s="1"/>
  <c r="BE184" i="36"/>
  <c r="BE185" i="36" s="1"/>
  <c r="BE221" i="36"/>
  <c r="BE212" i="36"/>
  <c r="BL385" i="36"/>
  <c r="AZ221" i="36"/>
  <c r="AZ212" i="36"/>
  <c r="AZ228" i="36" s="1"/>
  <c r="BE179" i="36"/>
  <c r="BF215" i="36"/>
  <c r="BF217" i="36"/>
  <c r="BF218" i="36"/>
  <c r="BF233" i="36" s="1"/>
  <c r="BE220" i="36"/>
  <c r="BE235" i="36" s="1"/>
  <c r="AY98" i="36"/>
  <c r="AY215" i="36"/>
  <c r="AY231" i="36" s="1"/>
  <c r="AY217" i="36"/>
  <c r="AY232" i="36" s="1"/>
  <c r="BA221" i="36"/>
  <c r="BA212" i="36"/>
  <c r="BA228" i="36" s="1"/>
  <c r="O49" i="16"/>
  <c r="BJ211" i="36"/>
  <c r="BE182" i="36"/>
  <c r="BH169" i="36"/>
  <c r="BH149" i="36" s="1"/>
  <c r="BE219" i="36"/>
  <c r="BE234" i="36" s="1"/>
  <c r="BD215" i="36"/>
  <c r="BA215" i="36"/>
  <c r="BA231" i="36" s="1"/>
  <c r="BA217" i="36"/>
  <c r="BA232" i="36" s="1"/>
  <c r="N49" i="16"/>
  <c r="BI211" i="36"/>
  <c r="BI227" i="36" s="1"/>
  <c r="BB244" i="36"/>
  <c r="AY185" i="36"/>
  <c r="AZ184" i="36"/>
  <c r="BB196" i="36"/>
  <c r="BB185" i="36"/>
  <c r="BB203" i="36"/>
  <c r="BB250" i="36"/>
  <c r="AZ130" i="36"/>
  <c r="BB130" i="36"/>
  <c r="N42" i="16"/>
  <c r="O42" i="16"/>
  <c r="AD282" i="36"/>
  <c r="BI140" i="36"/>
  <c r="AS259" i="36"/>
  <c r="AS266" i="36" s="1"/>
  <c r="AI259" i="36"/>
  <c r="AI266" i="36" s="1"/>
  <c r="AN259" i="36"/>
  <c r="BI85" i="36"/>
  <c r="AJ285" i="36"/>
  <c r="AJ286" i="36" s="1"/>
  <c r="AJ283" i="36"/>
  <c r="BC144" i="36"/>
  <c r="BC157" i="36"/>
  <c r="BI87" i="36"/>
  <c r="BJ87" i="36" s="1"/>
  <c r="BH103" i="36"/>
  <c r="BI142" i="36"/>
  <c r="BH158" i="36"/>
  <c r="AW280" i="36"/>
  <c r="AW279" i="36"/>
  <c r="BI151" i="36"/>
  <c r="BH144" i="36"/>
  <c r="BH157" i="36"/>
  <c r="BB247" i="36"/>
  <c r="BB296" i="36"/>
  <c r="BA65" i="36"/>
  <c r="BC297" i="36"/>
  <c r="BD297" i="36" s="1"/>
  <c r="BH249" i="36"/>
  <c r="X280" i="36"/>
  <c r="T71" i="36"/>
  <c r="T69" i="36"/>
  <c r="T70" i="36"/>
  <c r="AE278" i="36"/>
  <c r="AE279" i="36" s="1"/>
  <c r="AE285" i="36"/>
  <c r="AE286" i="36" s="1"/>
  <c r="AH278" i="36"/>
  <c r="AH285" i="36"/>
  <c r="AH286" i="36" s="1"/>
  <c r="S69" i="36"/>
  <c r="S70" i="36"/>
  <c r="S71" i="36"/>
  <c r="Z278" i="36"/>
  <c r="Z279" i="36" s="1"/>
  <c r="Z285" i="36"/>
  <c r="Z286" i="36" s="1"/>
  <c r="R71" i="36"/>
  <c r="R70" i="36"/>
  <c r="R69" i="36"/>
  <c r="AS253" i="36"/>
  <c r="BB238" i="36"/>
  <c r="BB328" i="36"/>
  <c r="BC328" i="36" s="1"/>
  <c r="BJ85" i="36"/>
  <c r="BK88" i="36"/>
  <c r="AS282" i="36"/>
  <c r="BH246" i="36"/>
  <c r="BH243" i="36"/>
  <c r="BB326" i="36"/>
  <c r="BC326" i="36" s="1"/>
  <c r="BB327" i="36"/>
  <c r="BC327" i="36" s="1"/>
  <c r="BH237" i="36"/>
  <c r="BI243" i="36"/>
  <c r="BI357" i="36" s="1"/>
  <c r="BD299" i="36"/>
  <c r="BD328" i="36" s="1"/>
  <c r="BB252" i="36"/>
  <c r="BD298" i="36"/>
  <c r="BD327" i="36" s="1"/>
  <c r="BE300" i="36"/>
  <c r="BE329" i="36" s="1"/>
  <c r="AZ176" i="36"/>
  <c r="AZ173" i="36"/>
  <c r="AZ179" i="36"/>
  <c r="AZ135" i="36"/>
  <c r="AZ202" i="36"/>
  <c r="AZ363" i="36" s="1"/>
  <c r="BC134" i="36"/>
  <c r="BE135" i="36"/>
  <c r="AZ182" i="36"/>
  <c r="AZ170" i="36"/>
  <c r="BC86" i="36"/>
  <c r="AY79" i="36"/>
  <c r="BJ195" i="36"/>
  <c r="BD79" i="36"/>
  <c r="BD91" i="36" s="1"/>
  <c r="BH86" i="36"/>
  <c r="BC149" i="36"/>
  <c r="BC164" i="36" s="1"/>
  <c r="BJ175" i="36"/>
  <c r="BJ243" i="36" s="1"/>
  <c r="BJ357" i="36" s="1"/>
  <c r="BJ140" i="36"/>
  <c r="BK143" i="36"/>
  <c r="BD135" i="36"/>
  <c r="BD184" i="36"/>
  <c r="BD185" i="36" s="1"/>
  <c r="BH134" i="36"/>
  <c r="BD176" i="36"/>
  <c r="BD182" i="36"/>
  <c r="BD173" i="36"/>
  <c r="BD179" i="36"/>
  <c r="BD170" i="36"/>
  <c r="BH152" i="36"/>
  <c r="T280" i="36"/>
  <c r="S280" i="36"/>
  <c r="R280" i="36"/>
  <c r="AH266" i="36"/>
  <c r="AV266" i="36"/>
  <c r="AD259" i="36"/>
  <c r="AD266" i="36" s="1"/>
  <c r="AD253" i="36"/>
  <c r="U280" i="36"/>
  <c r="Y282" i="36"/>
  <c r="Y259" i="36"/>
  <c r="Y253" i="36"/>
  <c r="V280" i="36"/>
  <c r="AB280" i="36"/>
  <c r="AC280" i="36"/>
  <c r="AA280" i="36"/>
  <c r="AN253" i="36"/>
  <c r="AN282" i="36"/>
  <c r="AI253" i="36"/>
  <c r="AI282" i="36"/>
  <c r="AG280" i="36"/>
  <c r="AM280" i="36"/>
  <c r="AN266" i="36"/>
  <c r="AN262" i="36"/>
  <c r="AL280" i="36"/>
  <c r="AJ278" i="36"/>
  <c r="AJ279" i="36" s="1"/>
  <c r="AF280" i="36"/>
  <c r="AJ262" i="36"/>
  <c r="AJ266" i="36"/>
  <c r="AK280" i="36"/>
  <c r="AV280" i="36"/>
  <c r="AR280" i="36"/>
  <c r="AQ280" i="36"/>
  <c r="AU280" i="36"/>
  <c r="AP280" i="36"/>
  <c r="BH147" i="36" l="1"/>
  <c r="BH163" i="36" s="1"/>
  <c r="K77" i="36"/>
  <c r="K353" i="36" s="1"/>
  <c r="J5" i="36"/>
  <c r="BA214" i="36"/>
  <c r="BA230" i="36" s="1"/>
  <c r="BA363" i="36"/>
  <c r="BF363" i="36" s="1"/>
  <c r="BG363" i="36"/>
  <c r="BE363" i="36"/>
  <c r="BG233" i="36"/>
  <c r="BF241" i="36"/>
  <c r="BF252" i="36"/>
  <c r="BF253" i="36" s="1"/>
  <c r="AD278" i="36"/>
  <c r="AD279" i="36" s="1"/>
  <c r="BF250" i="36"/>
  <c r="BE214" i="36"/>
  <c r="AS262" i="36"/>
  <c r="BF213" i="36"/>
  <c r="BE247" i="36"/>
  <c r="BE250" i="36"/>
  <c r="BE244" i="36"/>
  <c r="BE241" i="36"/>
  <c r="BE238" i="36"/>
  <c r="BA238" i="36"/>
  <c r="BE252" i="36"/>
  <c r="BE253" i="36" s="1"/>
  <c r="BA213" i="36"/>
  <c r="BA229" i="36" s="1"/>
  <c r="BE213" i="36"/>
  <c r="BD232" i="36"/>
  <c r="BG231" i="36"/>
  <c r="BJ227" i="36"/>
  <c r="BF203" i="36"/>
  <c r="BH160" i="36"/>
  <c r="BH164" i="36"/>
  <c r="M53" i="16" s="1"/>
  <c r="BH179" i="36"/>
  <c r="BH146" i="36"/>
  <c r="BF247" i="36"/>
  <c r="BA250" i="36"/>
  <c r="BH167" i="36"/>
  <c r="BC146" i="36"/>
  <c r="BC162" i="36" s="1"/>
  <c r="BF196" i="36"/>
  <c r="BA203" i="36"/>
  <c r="BA241" i="36"/>
  <c r="BA196" i="36"/>
  <c r="BA244" i="36"/>
  <c r="BF238" i="36"/>
  <c r="BC160" i="36"/>
  <c r="BF214" i="36"/>
  <c r="BF230" i="36" s="1"/>
  <c r="BA247" i="36"/>
  <c r="BG232" i="36"/>
  <c r="BG238" i="36"/>
  <c r="AY212" i="36"/>
  <c r="AY228" i="36" s="1"/>
  <c r="BG252" i="36"/>
  <c r="BG253" i="36" s="1"/>
  <c r="BG203" i="36"/>
  <c r="BD225" i="36"/>
  <c r="BG244" i="36"/>
  <c r="BG247" i="36"/>
  <c r="BG213" i="36"/>
  <c r="BG229" i="36" s="1"/>
  <c r="BG241" i="36"/>
  <c r="BG214" i="36"/>
  <c r="BG230" i="36" s="1"/>
  <c r="BG196" i="36"/>
  <c r="BD231" i="36"/>
  <c r="BF228" i="36"/>
  <c r="BC102" i="36"/>
  <c r="BF232" i="36"/>
  <c r="BE228" i="36"/>
  <c r="BF231" i="36"/>
  <c r="BH102" i="36"/>
  <c r="AY221" i="36"/>
  <c r="L53" i="16"/>
  <c r="BH170" i="36"/>
  <c r="AS283" i="36"/>
  <c r="BH219" i="36"/>
  <c r="BH184" i="36"/>
  <c r="BH185" i="36" s="1"/>
  <c r="BH176" i="36"/>
  <c r="AZ214" i="36"/>
  <c r="AZ230" i="36" s="1"/>
  <c r="AZ213" i="36"/>
  <c r="AZ229" i="36" s="1"/>
  <c r="BH220" i="36"/>
  <c r="BH209" i="36"/>
  <c r="P49" i="16"/>
  <c r="BK211" i="36"/>
  <c r="BK227" i="36" s="1"/>
  <c r="E67" i="16"/>
  <c r="BD221" i="36"/>
  <c r="BD212" i="36"/>
  <c r="BI208" i="36"/>
  <c r="BI224" i="36" s="1"/>
  <c r="BH182" i="36"/>
  <c r="BH173" i="36"/>
  <c r="BC209" i="36"/>
  <c r="BC225" i="36" s="1"/>
  <c r="AN283" i="36"/>
  <c r="AY91" i="36"/>
  <c r="E66" i="16"/>
  <c r="AD283" i="36"/>
  <c r="BI178" i="36"/>
  <c r="E68" i="16"/>
  <c r="AD285" i="36"/>
  <c r="AD286" i="36" s="1"/>
  <c r="BJ142" i="36"/>
  <c r="BI210" i="36"/>
  <c r="BI226" i="36" s="1"/>
  <c r="AI283" i="36"/>
  <c r="BJ151" i="36"/>
  <c r="BJ178" i="36" s="1"/>
  <c r="BH217" i="36"/>
  <c r="BH215" i="36"/>
  <c r="BJ208" i="36"/>
  <c r="BE217" i="36"/>
  <c r="BE232" i="36" s="1"/>
  <c r="BE215" i="36"/>
  <c r="BE231" i="36" s="1"/>
  <c r="AZ185" i="36"/>
  <c r="BB253" i="36"/>
  <c r="BA253" i="36"/>
  <c r="P42" i="16"/>
  <c r="AI262" i="36"/>
  <c r="BI152" i="36"/>
  <c r="BI181" i="36" s="1"/>
  <c r="BH89" i="36"/>
  <c r="AH280" i="36"/>
  <c r="AH279" i="36"/>
  <c r="Y285" i="36"/>
  <c r="Y286" i="36" s="1"/>
  <c r="Y283" i="36"/>
  <c r="L51" i="16"/>
  <c r="BC89" i="36"/>
  <c r="BI144" i="36"/>
  <c r="M51" i="16"/>
  <c r="AZ238" i="36"/>
  <c r="BD326" i="36"/>
  <c r="BC296" i="36"/>
  <c r="BD359" i="36" s="1"/>
  <c r="BD325" i="36" s="1"/>
  <c r="BB65" i="36"/>
  <c r="Z280" i="36"/>
  <c r="AE280" i="36"/>
  <c r="AN285" i="36"/>
  <c r="AN286" i="36" s="1"/>
  <c r="AS278" i="36"/>
  <c r="AS279" i="36" s="1"/>
  <c r="AS285" i="36"/>
  <c r="AS286" i="36" s="1"/>
  <c r="AI285" i="36"/>
  <c r="AI286" i="36" s="1"/>
  <c r="BK87" i="36"/>
  <c r="BK85" i="36"/>
  <c r="BL88" i="36"/>
  <c r="BF300" i="36"/>
  <c r="BF329" i="36" s="1"/>
  <c r="BE299" i="36"/>
  <c r="BE328" i="36" s="1"/>
  <c r="BE298" i="36"/>
  <c r="BE327" i="36" s="1"/>
  <c r="BE297" i="36"/>
  <c r="BD121" i="36"/>
  <c r="BD202" i="36"/>
  <c r="BD127" i="36"/>
  <c r="BH79" i="36"/>
  <c r="BD129" i="36"/>
  <c r="BD130" i="36" s="1"/>
  <c r="BD80" i="36"/>
  <c r="BD118" i="36"/>
  <c r="BD115" i="36"/>
  <c r="BD124" i="36"/>
  <c r="BK195" i="36"/>
  <c r="AZ250" i="36"/>
  <c r="AZ196" i="36"/>
  <c r="AZ203" i="36"/>
  <c r="AZ247" i="36"/>
  <c r="AZ252" i="36"/>
  <c r="AZ244" i="36"/>
  <c r="BE203" i="36"/>
  <c r="AZ241" i="36"/>
  <c r="AY129" i="36"/>
  <c r="AY121" i="36"/>
  <c r="AY202" i="36"/>
  <c r="AY363" i="36" s="1"/>
  <c r="AY115" i="36"/>
  <c r="AY124" i="36"/>
  <c r="AY127" i="36"/>
  <c r="AY118" i="36"/>
  <c r="AY80" i="36"/>
  <c r="BC176" i="36"/>
  <c r="BC179" i="36"/>
  <c r="BC182" i="36"/>
  <c r="BC135" i="36"/>
  <c r="BC184" i="36"/>
  <c r="BC145" i="36"/>
  <c r="BC161" i="36" s="1"/>
  <c r="BC173" i="36"/>
  <c r="BC170" i="36"/>
  <c r="BK175" i="36"/>
  <c r="BK243" i="36" s="1"/>
  <c r="BK357" i="36" s="1"/>
  <c r="BL143" i="36"/>
  <c r="BK140" i="36"/>
  <c r="BH145" i="36"/>
  <c r="BH135" i="36"/>
  <c r="AD262" i="36"/>
  <c r="Y266" i="36"/>
  <c r="Y351" i="36" s="1"/>
  <c r="Y262" i="36"/>
  <c r="Y278" i="36"/>
  <c r="Y279" i="36" s="1"/>
  <c r="AN278" i="36"/>
  <c r="AI278" i="36"/>
  <c r="AJ280" i="36"/>
  <c r="BI147" i="36" l="1"/>
  <c r="AD280" i="36"/>
  <c r="J77" i="36"/>
  <c r="J353" i="36" s="1"/>
  <c r="I5" i="36"/>
  <c r="BD363" i="36"/>
  <c r="BH363" i="36" s="1"/>
  <c r="BC363" i="36"/>
  <c r="BH162" i="36"/>
  <c r="BD228" i="36"/>
  <c r="BF229" i="36"/>
  <c r="BK151" i="36"/>
  <c r="BL151" i="36" s="1"/>
  <c r="BH161" i="36"/>
  <c r="BH225" i="36"/>
  <c r="BJ224" i="36"/>
  <c r="BE230" i="36"/>
  <c r="BE229" i="36"/>
  <c r="BL211" i="36"/>
  <c r="BL227" i="36" s="1"/>
  <c r="BD214" i="36"/>
  <c r="BD213" i="36"/>
  <c r="BH91" i="36"/>
  <c r="BH129" i="36"/>
  <c r="BH130" i="36" s="1"/>
  <c r="BH121" i="36"/>
  <c r="BH124" i="36"/>
  <c r="BH118" i="36"/>
  <c r="BH127" i="36"/>
  <c r="BH115" i="36"/>
  <c r="BK208" i="36"/>
  <c r="BK224" i="36" s="1"/>
  <c r="BC212" i="36"/>
  <c r="BC228" i="36" s="1"/>
  <c r="BH212" i="36"/>
  <c r="AY214" i="36"/>
  <c r="AY230" i="36" s="1"/>
  <c r="AY213" i="36"/>
  <c r="AY229" i="36" s="1"/>
  <c r="BK142" i="36"/>
  <c r="BK210" i="36" s="1"/>
  <c r="BJ210" i="36"/>
  <c r="BJ226" i="36" s="1"/>
  <c r="BJ152" i="36"/>
  <c r="BK152" i="36" s="1"/>
  <c r="BC185" i="36"/>
  <c r="L50" i="16"/>
  <c r="AZ253" i="36"/>
  <c r="AY130" i="36"/>
  <c r="Q42" i="16"/>
  <c r="AI280" i="36"/>
  <c r="AI279" i="36"/>
  <c r="BL140" i="36"/>
  <c r="Q49" i="16"/>
  <c r="L44" i="16"/>
  <c r="BC105" i="36"/>
  <c r="BD296" i="36"/>
  <c r="BD65" i="36" s="1"/>
  <c r="BI89" i="36"/>
  <c r="BH105" i="36"/>
  <c r="M44" i="16"/>
  <c r="AN280" i="36"/>
  <c r="AN279" i="36"/>
  <c r="BI145" i="36"/>
  <c r="M50" i="16"/>
  <c r="BJ144" i="36"/>
  <c r="N51" i="16"/>
  <c r="BI141" i="36"/>
  <c r="BE326" i="36"/>
  <c r="BC65" i="36"/>
  <c r="BD54" i="36"/>
  <c r="BD55" i="36" s="1"/>
  <c r="BG54" i="36"/>
  <c r="BG55" i="36" s="1"/>
  <c r="BF54" i="36"/>
  <c r="BF55" i="36" s="1"/>
  <c r="BE54" i="36"/>
  <c r="BE55" i="36" s="1"/>
  <c r="BB54" i="36"/>
  <c r="BB55" i="36" s="1"/>
  <c r="BA54" i="36"/>
  <c r="BA55" i="36" s="1"/>
  <c r="AZ54" i="36"/>
  <c r="AZ55" i="36" s="1"/>
  <c r="AY54" i="36"/>
  <c r="AY55" i="36" s="1"/>
  <c r="BL85" i="36"/>
  <c r="BL87" i="36"/>
  <c r="BG300" i="36"/>
  <c r="BH300" i="36" s="1"/>
  <c r="BF298" i="36"/>
  <c r="BF327" i="36" s="1"/>
  <c r="BF297" i="36"/>
  <c r="BF299" i="36"/>
  <c r="BF328" i="36" s="1"/>
  <c r="BL195" i="36"/>
  <c r="AY250" i="36"/>
  <c r="AY203" i="36"/>
  <c r="AY196" i="36"/>
  <c r="AY252" i="36"/>
  <c r="AY244" i="36"/>
  <c r="AY238" i="36"/>
  <c r="AY247" i="36"/>
  <c r="AY241" i="36"/>
  <c r="BD203" i="36"/>
  <c r="BD196" i="36"/>
  <c r="BD250" i="36"/>
  <c r="BD252" i="36"/>
  <c r="BD253" i="36" s="1"/>
  <c r="BD241" i="36"/>
  <c r="BD238" i="36"/>
  <c r="BD244" i="36"/>
  <c r="BD247" i="36"/>
  <c r="BH90" i="36"/>
  <c r="BH202" i="36"/>
  <c r="BL175" i="36"/>
  <c r="BL243" i="36" s="1"/>
  <c r="BL357" i="36" s="1"/>
  <c r="Y280" i="36"/>
  <c r="BJ147" i="36" l="1"/>
  <c r="BI169" i="36"/>
  <c r="BI149" i="36" s="1"/>
  <c r="I77" i="36"/>
  <c r="I353" i="36" s="1"/>
  <c r="H5" i="36"/>
  <c r="BK178" i="36"/>
  <c r="BH228" i="36"/>
  <c r="BL142" i="36"/>
  <c r="BL210" i="36" s="1"/>
  <c r="BL226" i="36" s="1"/>
  <c r="BK226" i="36"/>
  <c r="BD230" i="36"/>
  <c r="BD229" i="36"/>
  <c r="BL208" i="36"/>
  <c r="BL224" i="36" s="1"/>
  <c r="BH214" i="36"/>
  <c r="BH213" i="36"/>
  <c r="BL178" i="36"/>
  <c r="BJ181" i="36"/>
  <c r="BJ145" i="36"/>
  <c r="BK145" i="36" s="1"/>
  <c r="AY253" i="36"/>
  <c r="M38" i="16"/>
  <c r="BE296" i="36"/>
  <c r="BI134" i="36"/>
  <c r="BI146" i="36" s="1"/>
  <c r="BI90" i="36"/>
  <c r="N44" i="16"/>
  <c r="BJ89" i="36"/>
  <c r="BI86" i="36"/>
  <c r="BK144" i="36"/>
  <c r="O51" i="16"/>
  <c r="BJ141" i="36"/>
  <c r="BA10" i="36"/>
  <c r="BA26" i="36"/>
  <c r="BA27" i="36"/>
  <c r="BA9" i="36"/>
  <c r="BE26" i="36"/>
  <c r="BE27" i="36"/>
  <c r="BE10" i="36"/>
  <c r="BE9" i="36"/>
  <c r="BF326" i="36"/>
  <c r="BB10" i="36"/>
  <c r="BC10" i="36" s="1"/>
  <c r="BB26" i="36"/>
  <c r="BC26" i="36" s="1"/>
  <c r="BB27" i="36"/>
  <c r="BC27" i="36" s="1"/>
  <c r="BB9" i="36"/>
  <c r="BC9" i="36" s="1"/>
  <c r="BF26" i="36"/>
  <c r="BF27" i="36"/>
  <c r="BF10" i="36"/>
  <c r="BF9" i="36"/>
  <c r="BG10" i="36"/>
  <c r="BH10" i="36" s="1"/>
  <c r="BG26" i="36"/>
  <c r="BH26" i="36" s="1"/>
  <c r="BG27" i="36"/>
  <c r="BH27" i="36" s="1"/>
  <c r="BG9" i="36"/>
  <c r="BH9" i="36" s="1"/>
  <c r="BD27" i="36"/>
  <c r="BD10" i="36"/>
  <c r="BD26" i="36"/>
  <c r="BD9" i="36"/>
  <c r="AY10" i="36"/>
  <c r="AY26" i="36"/>
  <c r="AY376" i="36" s="1"/>
  <c r="AY27" i="36"/>
  <c r="AY377" i="36" s="1"/>
  <c r="AY9" i="36"/>
  <c r="AZ10" i="36"/>
  <c r="AZ26" i="36"/>
  <c r="AZ27" i="36"/>
  <c r="AZ9" i="36"/>
  <c r="BC54" i="36"/>
  <c r="BC55" i="36" s="1"/>
  <c r="BH54" i="36"/>
  <c r="BH55" i="36" s="1"/>
  <c r="BG329" i="36"/>
  <c r="BH329" i="36" s="1"/>
  <c r="BG298" i="36"/>
  <c r="BH298" i="36" s="1"/>
  <c r="BI300" i="36"/>
  <c r="BI329" i="36" s="1"/>
  <c r="BG299" i="36"/>
  <c r="BH299" i="36" s="1"/>
  <c r="BG297" i="36"/>
  <c r="BH196" i="36"/>
  <c r="BH244" i="36"/>
  <c r="BH250" i="36"/>
  <c r="BH247" i="36"/>
  <c r="BH238" i="36"/>
  <c r="BL152" i="36"/>
  <c r="BK181" i="36"/>
  <c r="BK147" i="36" l="1"/>
  <c r="BJ169" i="36"/>
  <c r="BJ149" i="36" s="1"/>
  <c r="H77" i="36"/>
  <c r="H353" i="36" s="1"/>
  <c r="G5" i="36"/>
  <c r="BE373" i="36"/>
  <c r="BI102" i="36"/>
  <c r="BI209" i="36"/>
  <c r="BI225" i="36" s="1"/>
  <c r="AZ376" i="36"/>
  <c r="BL181" i="36"/>
  <c r="BI170" i="36"/>
  <c r="BI182" i="36"/>
  <c r="BJ134" i="36"/>
  <c r="BJ146" i="36" s="1"/>
  <c r="BJ90" i="36"/>
  <c r="BI179" i="36"/>
  <c r="BI135" i="36"/>
  <c r="BI176" i="36"/>
  <c r="BA376" i="36"/>
  <c r="O44" i="16"/>
  <c r="BK89" i="36"/>
  <c r="BJ86" i="36"/>
  <c r="BA374" i="36"/>
  <c r="BG376" i="36"/>
  <c r="BD373" i="36"/>
  <c r="BL144" i="36"/>
  <c r="P51" i="16"/>
  <c r="BK141" i="36"/>
  <c r="BK134" i="36" s="1"/>
  <c r="BK146" i="36" s="1"/>
  <c r="BE65" i="36"/>
  <c r="BF359" i="36"/>
  <c r="BA373" i="36"/>
  <c r="BE377" i="36"/>
  <c r="BE374" i="36"/>
  <c r="BH297" i="36"/>
  <c r="BI297" i="36" s="1"/>
  <c r="BF376" i="36"/>
  <c r="BG373" i="36"/>
  <c r="BB377" i="36"/>
  <c r="BG374" i="36"/>
  <c r="BB376" i="36"/>
  <c r="BB374" i="36"/>
  <c r="AZ374" i="36"/>
  <c r="AY374" i="36"/>
  <c r="AZ373" i="36"/>
  <c r="AY373" i="36"/>
  <c r="BF373" i="36"/>
  <c r="BG377" i="36"/>
  <c r="BF374" i="36"/>
  <c r="BA377" i="36"/>
  <c r="BB373" i="36"/>
  <c r="BF377" i="36"/>
  <c r="AZ377" i="36"/>
  <c r="BD374" i="36"/>
  <c r="BE376" i="36"/>
  <c r="BH56" i="36"/>
  <c r="BI56" i="36" s="1"/>
  <c r="BC56" i="36"/>
  <c r="BC57" i="36"/>
  <c r="BH57" i="36"/>
  <c r="BI57" i="36" s="1"/>
  <c r="BG328" i="36"/>
  <c r="BH328" i="36" s="1"/>
  <c r="BG326" i="36"/>
  <c r="BH326" i="36" s="1"/>
  <c r="BJ300" i="36"/>
  <c r="BJ329" i="36" s="1"/>
  <c r="BG327" i="36"/>
  <c r="BH327" i="36" s="1"/>
  <c r="BI298" i="36"/>
  <c r="BI299" i="36"/>
  <c r="BI328" i="36" s="1"/>
  <c r="BL145" i="36"/>
  <c r="BJ170" i="36" l="1"/>
  <c r="BL147" i="36"/>
  <c r="BL169" i="36" s="1"/>
  <c r="BL149" i="36" s="1"/>
  <c r="BK169" i="36"/>
  <c r="BK149" i="36" s="1"/>
  <c r="F5" i="36"/>
  <c r="G77" i="36"/>
  <c r="G353" i="36" s="1"/>
  <c r="BJ179" i="36"/>
  <c r="BJ135" i="36"/>
  <c r="BJ102" i="36"/>
  <c r="BI212" i="36"/>
  <c r="BI228" i="36" s="1"/>
  <c r="BC376" i="36"/>
  <c r="BJ209" i="36"/>
  <c r="BJ225" i="36" s="1"/>
  <c r="BJ182" i="36"/>
  <c r="BK170" i="36"/>
  <c r="BJ176" i="36"/>
  <c r="BJ79" i="36"/>
  <c r="BK90" i="36"/>
  <c r="BF296" i="36"/>
  <c r="BH359" i="36"/>
  <c r="BF325" i="36"/>
  <c r="BH325" i="36" s="1"/>
  <c r="Q51" i="16"/>
  <c r="BL141" i="36"/>
  <c r="P44" i="16"/>
  <c r="BL89" i="36"/>
  <c r="BK86" i="36"/>
  <c r="BH373" i="36"/>
  <c r="BI326" i="36"/>
  <c r="BJ57" i="36"/>
  <c r="BC377" i="36"/>
  <c r="BC374" i="36"/>
  <c r="BC373" i="36"/>
  <c r="BH374" i="36"/>
  <c r="BJ56" i="36"/>
  <c r="BJ298" i="36"/>
  <c r="BJ327" i="36" s="1"/>
  <c r="BJ297" i="36"/>
  <c r="BJ299" i="36"/>
  <c r="BJ328" i="36" s="1"/>
  <c r="BI327" i="36"/>
  <c r="BK300" i="36"/>
  <c r="BK329" i="36" s="1"/>
  <c r="BK182" i="36"/>
  <c r="BK135" i="36"/>
  <c r="BK176" i="36"/>
  <c r="BK179" i="36"/>
  <c r="AX392" i="36"/>
  <c r="AX381" i="36"/>
  <c r="AW302" i="36"/>
  <c r="AW303" i="36" s="1"/>
  <c r="AX303" i="36" s="1"/>
  <c r="AY303" i="36" s="1"/>
  <c r="AZ303" i="36" s="1"/>
  <c r="BA303" i="36" s="1"/>
  <c r="BB303" i="36" s="1"/>
  <c r="BC303" i="36" s="1"/>
  <c r="BD303" i="36" s="1"/>
  <c r="BE303" i="36" s="1"/>
  <c r="BF303" i="36" s="1"/>
  <c r="BG303" i="36" s="1"/>
  <c r="BH303" i="36" s="1"/>
  <c r="BI303" i="36" s="1"/>
  <c r="BJ303" i="36" s="1"/>
  <c r="BK303" i="36" s="1"/>
  <c r="BL303" i="36" s="1"/>
  <c r="AX269" i="36"/>
  <c r="AX261" i="36"/>
  <c r="AX255" i="36"/>
  <c r="AX265" i="36"/>
  <c r="AX264" i="36"/>
  <c r="AX256" i="36"/>
  <c r="AY11" i="36"/>
  <c r="K64" i="16"/>
  <c r="E5" i="36" l="1"/>
  <c r="F77" i="36"/>
  <c r="F353" i="36" s="1"/>
  <c r="BK209" i="36"/>
  <c r="BK225" i="36" s="1"/>
  <c r="BK102" i="36"/>
  <c r="BJ212" i="36"/>
  <c r="BJ228" i="36" s="1"/>
  <c r="BJ202" i="36"/>
  <c r="BJ203" i="36" s="1"/>
  <c r="BJ91" i="36"/>
  <c r="BL134" i="36"/>
  <c r="BK79" i="36"/>
  <c r="BK91" i="36" s="1"/>
  <c r="BJ121" i="36"/>
  <c r="BL90" i="36"/>
  <c r="BF65" i="36"/>
  <c r="BG296" i="36"/>
  <c r="BL86" i="36"/>
  <c r="BL209" i="36" s="1"/>
  <c r="Q44" i="16"/>
  <c r="AX421" i="36"/>
  <c r="BJ326" i="36"/>
  <c r="BK57" i="36"/>
  <c r="BK56" i="36"/>
  <c r="BK299" i="36"/>
  <c r="BK328" i="36" s="1"/>
  <c r="BL300" i="36"/>
  <c r="BL329" i="36" s="1"/>
  <c r="BK297" i="36"/>
  <c r="BK298" i="36"/>
  <c r="BK327" i="36" s="1"/>
  <c r="AX117" i="36"/>
  <c r="AX98" i="36" s="1"/>
  <c r="AX257" i="36"/>
  <c r="AX114" i="36"/>
  <c r="AX120" i="36"/>
  <c r="AX243" i="36" s="1"/>
  <c r="AX244" i="36" s="1"/>
  <c r="E77" i="36" l="1"/>
  <c r="E353" i="36" s="1"/>
  <c r="BK80" i="36"/>
  <c r="BK121" i="36"/>
  <c r="BL146" i="36"/>
  <c r="BL179" i="36"/>
  <c r="BL176" i="36"/>
  <c r="BJ196" i="36"/>
  <c r="BJ244" i="36"/>
  <c r="BJ54" i="36"/>
  <c r="BJ9" i="36" s="1"/>
  <c r="BL225" i="36"/>
  <c r="O38" i="16"/>
  <c r="BK212" i="36"/>
  <c r="BK228" i="36" s="1"/>
  <c r="BL102" i="36"/>
  <c r="BK202" i="36"/>
  <c r="BK213" i="36" s="1"/>
  <c r="BL212" i="36"/>
  <c r="BL182" i="36"/>
  <c r="BJ214" i="36"/>
  <c r="BJ213" i="36"/>
  <c r="BL170" i="36"/>
  <c r="BL135" i="36"/>
  <c r="K59" i="16"/>
  <c r="BL79" i="36"/>
  <c r="BH296" i="36"/>
  <c r="BG65" i="36"/>
  <c r="BK326" i="36"/>
  <c r="BL57" i="36"/>
  <c r="BL56" i="36"/>
  <c r="BL297" i="36"/>
  <c r="BL298" i="36"/>
  <c r="BL327" i="36" s="1"/>
  <c r="BL299" i="36"/>
  <c r="BL328" i="36" s="1"/>
  <c r="AX237" i="36"/>
  <c r="AX94" i="36"/>
  <c r="AX240" i="36"/>
  <c r="AX95" i="36"/>
  <c r="AX92" i="36"/>
  <c r="AX108" i="36" s="1"/>
  <c r="AX129" i="36"/>
  <c r="BJ10" i="36" l="1"/>
  <c r="BJ55" i="36"/>
  <c r="BK229" i="36"/>
  <c r="BL228" i="36"/>
  <c r="BK244" i="36"/>
  <c r="P38" i="16"/>
  <c r="BK203" i="36"/>
  <c r="BK214" i="36"/>
  <c r="BK230" i="36" s="1"/>
  <c r="BK196" i="36"/>
  <c r="BK54" i="36"/>
  <c r="AX218" i="36"/>
  <c r="AX233" i="36" s="1"/>
  <c r="AX221" i="36"/>
  <c r="BL91" i="36"/>
  <c r="BL80" i="36"/>
  <c r="BL202" i="36"/>
  <c r="BL121" i="36"/>
  <c r="AX238" i="36"/>
  <c r="AX217" i="36"/>
  <c r="AX232" i="36" s="1"/>
  <c r="AX215" i="36"/>
  <c r="AX231" i="36" s="1"/>
  <c r="BI359" i="36"/>
  <c r="BI325" i="36" s="1"/>
  <c r="BH65" i="36"/>
  <c r="AX241" i="36"/>
  <c r="BL326" i="36"/>
  <c r="AX110" i="36"/>
  <c r="K45" i="16" s="1"/>
  <c r="AX252" i="36"/>
  <c r="AX109" i="36"/>
  <c r="K46" i="16" s="1"/>
  <c r="AX118" i="36"/>
  <c r="AX124" i="36"/>
  <c r="AX121" i="36"/>
  <c r="AX115" i="36"/>
  <c r="BK10" i="36" l="1"/>
  <c r="BK374" i="36" s="1"/>
  <c r="BK55" i="36"/>
  <c r="BK9" i="36"/>
  <c r="BK373" i="36" s="1"/>
  <c r="BL214" i="36"/>
  <c r="BL230" i="36" s="1"/>
  <c r="BL213" i="36"/>
  <c r="BL229" i="36" s="1"/>
  <c r="BL196" i="36"/>
  <c r="BL244" i="36"/>
  <c r="BL203" i="36"/>
  <c r="Q38" i="16"/>
  <c r="BL54" i="36"/>
  <c r="AX253" i="36"/>
  <c r="BI296" i="36"/>
  <c r="AX259" i="36"/>
  <c r="AX282" i="36"/>
  <c r="AX130" i="36"/>
  <c r="AT276" i="36"/>
  <c r="AT381" i="36"/>
  <c r="BL9" i="36" l="1"/>
  <c r="BL373" i="36" s="1"/>
  <c r="BL55" i="36"/>
  <c r="AX283" i="36"/>
  <c r="BL10" i="36"/>
  <c r="BL374" i="36" s="1"/>
  <c r="BI65" i="36"/>
  <c r="BJ359" i="36"/>
  <c r="BJ325" i="36" s="1"/>
  <c r="AT421" i="36"/>
  <c r="AX278" i="36"/>
  <c r="AX285" i="36"/>
  <c r="AX286" i="36" s="1"/>
  <c r="AW415" i="36"/>
  <c r="AV415" i="36"/>
  <c r="AT115" i="36"/>
  <c r="AT118" i="36"/>
  <c r="AT121" i="36"/>
  <c r="AU381" i="36"/>
  <c r="AT130" i="36"/>
  <c r="AT124" i="36"/>
  <c r="AT12" i="36"/>
  <c r="AT23" i="36" s="1"/>
  <c r="AT280" i="36" s="1"/>
  <c r="BJ296" i="36" l="1"/>
  <c r="BK359" i="36" s="1"/>
  <c r="BK325" i="36" s="1"/>
  <c r="AX280" i="36"/>
  <c r="AX279" i="36"/>
  <c r="AU421" i="36"/>
  <c r="AX266" i="36"/>
  <c r="AV381" i="36"/>
  <c r="AW355" i="36"/>
  <c r="AT49" i="36"/>
  <c r="BJ65" i="36" l="1"/>
  <c r="BK296" i="36"/>
  <c r="AV421" i="36"/>
  <c r="AX262" i="36"/>
  <c r="AW381" i="36"/>
  <c r="AV392" i="36"/>
  <c r="AT266" i="36"/>
  <c r="AT262" i="36"/>
  <c r="BK65" i="36" l="1"/>
  <c r="BL359" i="36"/>
  <c r="BL325" i="36" s="1"/>
  <c r="BL296" i="36"/>
  <c r="BL65" i="36" s="1"/>
  <c r="AW421" i="36"/>
  <c r="AW392" i="36"/>
  <c r="AX295" i="36" l="1"/>
  <c r="AX294" i="36"/>
  <c r="AO276" i="36"/>
  <c r="W392" i="36"/>
  <c r="W381" i="36"/>
  <c r="W421" i="36" s="1"/>
  <c r="V381" i="36"/>
  <c r="V421" i="36" s="1"/>
  <c r="U381" i="36"/>
  <c r="U421" i="36" s="1"/>
  <c r="AD381" i="36"/>
  <c r="N94" i="16"/>
  <c r="M94" i="16"/>
  <c r="K94" i="16"/>
  <c r="AS7" i="36"/>
  <c r="AS8" i="36"/>
  <c r="AS55" i="36" s="1"/>
  <c r="AS9" i="36"/>
  <c r="AS56" i="36" s="1"/>
  <c r="K90" i="16"/>
  <c r="M90" i="16"/>
  <c r="N90" i="16"/>
  <c r="K93" i="16"/>
  <c r="M93" i="16"/>
  <c r="N93" i="16"/>
  <c r="K83" i="16"/>
  <c r="N83" i="16"/>
  <c r="N84" i="16"/>
  <c r="N87" i="16"/>
  <c r="K87" i="16"/>
  <c r="N86" i="16"/>
  <c r="M86" i="16"/>
  <c r="K86" i="16"/>
  <c r="N95" i="16"/>
  <c r="N85" i="16"/>
  <c r="M85" i="16"/>
  <c r="K85" i="16"/>
  <c r="K84" i="16"/>
  <c r="AD421" i="36" l="1"/>
  <c r="J64" i="16"/>
  <c r="AT417" i="36"/>
  <c r="AY294" i="36"/>
  <c r="AY323" i="36" s="1"/>
  <c r="AY295" i="36"/>
  <c r="T351" i="36"/>
  <c r="X415" i="36"/>
  <c r="N96" i="16"/>
  <c r="K88" i="16"/>
  <c r="K96" i="16"/>
  <c r="N88" i="16"/>
  <c r="W418" i="36"/>
  <c r="W419" i="36" s="1"/>
  <c r="W352" i="36" s="1"/>
  <c r="U418" i="36"/>
  <c r="U419" i="36" s="1"/>
  <c r="U352" i="36" s="1"/>
  <c r="V418" i="36"/>
  <c r="V419" i="36" s="1"/>
  <c r="V352" i="36" s="1"/>
  <c r="M83" i="16"/>
  <c r="M84" i="16"/>
  <c r="G59" i="16" l="1"/>
  <c r="AZ295" i="36"/>
  <c r="AZ324" i="36" s="1"/>
  <c r="AZ294" i="36"/>
  <c r="AZ323" i="36" s="1"/>
  <c r="AY324" i="36"/>
  <c r="E55" i="16"/>
  <c r="K98" i="16"/>
  <c r="N98" i="16"/>
  <c r="F39" i="16"/>
  <c r="X418" i="36"/>
  <c r="X419" i="36" s="1"/>
  <c r="X352" i="36" s="1"/>
  <c r="BA294" i="36" l="1"/>
  <c r="BA323" i="36" s="1"/>
  <c r="BA295" i="36"/>
  <c r="BA324" i="36" s="1"/>
  <c r="G39" i="16"/>
  <c r="H39" i="16"/>
  <c r="E56" i="16"/>
  <c r="AY378" i="36"/>
  <c r="BA264" i="36"/>
  <c r="AY264" i="36"/>
  <c r="BD264" i="36" s="1"/>
  <c r="AD417" i="36"/>
  <c r="BC414" i="36"/>
  <c r="BI414" i="36" s="1"/>
  <c r="BJ414" i="36" s="1"/>
  <c r="BK414" i="36" s="1"/>
  <c r="BL414" i="36" s="1"/>
  <c r="AQ392" i="36"/>
  <c r="AP392" i="36"/>
  <c r="AO392" i="36"/>
  <c r="AN392" i="36"/>
  <c r="AL392" i="36"/>
  <c r="AK392" i="36"/>
  <c r="AJ392" i="36"/>
  <c r="AI392" i="36"/>
  <c r="AG392" i="36"/>
  <c r="AF392" i="36"/>
  <c r="AD392" i="36"/>
  <c r="AB392" i="36"/>
  <c r="AA392" i="36"/>
  <c r="Y392" i="36"/>
  <c r="T392" i="36"/>
  <c r="BC391" i="36"/>
  <c r="AS381" i="36"/>
  <c r="AQ381" i="36"/>
  <c r="AP381" i="36"/>
  <c r="AO381" i="36"/>
  <c r="AN381" i="36"/>
  <c r="AL381" i="36"/>
  <c r="AK381" i="36"/>
  <c r="AJ381" i="36"/>
  <c r="AG381" i="36"/>
  <c r="AF381" i="36"/>
  <c r="AE381" i="36"/>
  <c r="AB381" i="36"/>
  <c r="AA381" i="36"/>
  <c r="Z381" i="36"/>
  <c r="Y381" i="36"/>
  <c r="T381" i="36"/>
  <c r="BC359" i="36"/>
  <c r="BC358" i="36"/>
  <c r="BC357" i="36"/>
  <c r="AX301" i="36"/>
  <c r="AY301" i="36" s="1"/>
  <c r="AZ301" i="36" s="1"/>
  <c r="BA301" i="36" s="1"/>
  <c r="BB301" i="36" s="1"/>
  <c r="AX293" i="36"/>
  <c r="AX292" i="36"/>
  <c r="BC275" i="36"/>
  <c r="BI275" i="36" s="1"/>
  <c r="BJ275" i="36" s="1"/>
  <c r="BK275" i="36" s="1"/>
  <c r="BL275" i="36" s="1"/>
  <c r="BC265" i="36"/>
  <c r="BC257" i="36"/>
  <c r="BC256" i="36"/>
  <c r="BB77" i="36"/>
  <c r="BA77" i="36"/>
  <c r="AZ77" i="36"/>
  <c r="AY77" i="36"/>
  <c r="AW77" i="36"/>
  <c r="AW353" i="36" s="1"/>
  <c r="AV77" i="36"/>
  <c r="AV353" i="36" s="1"/>
  <c r="AU77" i="36"/>
  <c r="AU353" i="36" s="1"/>
  <c r="AT77" i="36"/>
  <c r="AT353" i="36" s="1"/>
  <c r="AR77" i="36"/>
  <c r="AR353" i="36" s="1"/>
  <c r="AQ77" i="36"/>
  <c r="AQ353" i="36" s="1"/>
  <c r="AP77" i="36"/>
  <c r="AP353" i="36" s="1"/>
  <c r="AO77" i="36"/>
  <c r="AO353" i="36" s="1"/>
  <c r="AM77" i="36"/>
  <c r="AM353" i="36" s="1"/>
  <c r="AL77" i="36"/>
  <c r="AL353" i="36" s="1"/>
  <c r="AK77" i="36"/>
  <c r="AK353" i="36" s="1"/>
  <c r="AJ77" i="36"/>
  <c r="AJ353" i="36" s="1"/>
  <c r="AH77" i="36"/>
  <c r="AH353" i="36" s="1"/>
  <c r="AG77" i="36"/>
  <c r="AG353" i="36" s="1"/>
  <c r="AF77" i="36"/>
  <c r="AF353" i="36" s="1"/>
  <c r="AE77" i="36"/>
  <c r="AE353" i="36" s="1"/>
  <c r="AC77" i="36"/>
  <c r="AC353" i="36" s="1"/>
  <c r="AB77" i="36"/>
  <c r="AB353" i="36" s="1"/>
  <c r="AA77" i="36"/>
  <c r="AA353" i="36" s="1"/>
  <c r="Z77" i="36"/>
  <c r="Z353" i="36" s="1"/>
  <c r="X77" i="36"/>
  <c r="X353" i="36" s="1"/>
  <c r="W77" i="36"/>
  <c r="W353" i="36" s="1"/>
  <c r="V77" i="36"/>
  <c r="V353" i="36" s="1"/>
  <c r="U77" i="36"/>
  <c r="U353" i="36" s="1"/>
  <c r="AS40" i="36"/>
  <c r="AS47" i="36" s="1"/>
  <c r="AS34" i="36"/>
  <c r="AS33" i="36"/>
  <c r="AS32" i="36"/>
  <c r="AS31" i="36"/>
  <c r="AS29" i="36"/>
  <c r="AS28" i="36"/>
  <c r="AS27" i="36"/>
  <c r="AS59" i="36" s="1"/>
  <c r="AS26" i="36"/>
  <c r="AS58" i="36" s="1"/>
  <c r="AS21" i="36"/>
  <c r="AS18" i="36"/>
  <c r="AS17" i="36"/>
  <c r="AS16" i="36"/>
  <c r="AS15" i="36"/>
  <c r="I64" i="16"/>
  <c r="H64" i="16"/>
  <c r="G64" i="16"/>
  <c r="S5" i="36"/>
  <c r="T421" i="36" l="1"/>
  <c r="AJ421" i="36"/>
  <c r="AL421" i="36"/>
  <c r="AA421" i="36"/>
  <c r="AN421" i="36"/>
  <c r="Y421" i="36"/>
  <c r="Z421" i="36"/>
  <c r="AB421" i="36"/>
  <c r="AO421" i="36"/>
  <c r="AE421" i="36"/>
  <c r="AP421" i="36"/>
  <c r="AF421" i="36"/>
  <c r="AQ421" i="36"/>
  <c r="AK421" i="36"/>
  <c r="AG421" i="36"/>
  <c r="AS421" i="36"/>
  <c r="AY293" i="36"/>
  <c r="AY322" i="36" s="1"/>
  <c r="BB295" i="36"/>
  <c r="BC295" i="36" s="1"/>
  <c r="AY292" i="36"/>
  <c r="AY321" i="36" s="1"/>
  <c r="BB294" i="36"/>
  <c r="BC294" i="36" s="1"/>
  <c r="BJ264" i="36"/>
  <c r="BF264" i="36"/>
  <c r="T5" i="36"/>
  <c r="S77" i="36"/>
  <c r="S353" i="36" s="1"/>
  <c r="AZ353" i="36"/>
  <c r="BA353" i="36"/>
  <c r="AY353" i="36"/>
  <c r="BB353" i="36"/>
  <c r="AS37" i="36"/>
  <c r="AC415" i="36"/>
  <c r="AH415" i="36"/>
  <c r="AM415" i="36"/>
  <c r="AI417" i="36"/>
  <c r="AN417" i="36"/>
  <c r="AS417" i="36"/>
  <c r="AC62" i="36"/>
  <c r="AZ378" i="36"/>
  <c r="AB62" i="36"/>
  <c r="H55" i="16"/>
  <c r="AM51" i="36"/>
  <c r="AZ264" i="36"/>
  <c r="BE264" i="36" s="1"/>
  <c r="AO124" i="36"/>
  <c r="AO118" i="36"/>
  <c r="AO51" i="36"/>
  <c r="Z418" i="36"/>
  <c r="AJ418" i="36"/>
  <c r="AQ51" i="36"/>
  <c r="AF418" i="36"/>
  <c r="AP418" i="36"/>
  <c r="AO418" i="36"/>
  <c r="AQ418" i="36"/>
  <c r="AL418" i="36"/>
  <c r="AB418" i="36"/>
  <c r="Y418" i="36"/>
  <c r="AD418" i="36"/>
  <c r="AD419" i="36" s="1"/>
  <c r="AD352" i="36" s="1"/>
  <c r="T418" i="36"/>
  <c r="AY31" i="36"/>
  <c r="AZ31" i="36" s="1"/>
  <c r="BA31" i="36" s="1"/>
  <c r="BB31" i="36" s="1"/>
  <c r="BC31" i="36" s="1"/>
  <c r="AL51" i="36"/>
  <c r="AZ11" i="36"/>
  <c r="BA11" i="36" s="1"/>
  <c r="BB11" i="36" s="1"/>
  <c r="BC11" i="36" s="1"/>
  <c r="AY32" i="36"/>
  <c r="AZ32" i="36" s="1"/>
  <c r="BA32" i="36" s="1"/>
  <c r="BB32" i="36" s="1"/>
  <c r="BC32" i="36" s="1"/>
  <c r="AJ51" i="36"/>
  <c r="AY34" i="36"/>
  <c r="AZ34" i="36" s="1"/>
  <c r="BA34" i="36" s="1"/>
  <c r="BB34" i="36" s="1"/>
  <c r="BC34" i="36" s="1"/>
  <c r="AK51" i="36"/>
  <c r="AS12" i="36"/>
  <c r="AS23" i="36" s="1"/>
  <c r="AS280" i="36" s="1"/>
  <c r="AY33" i="36"/>
  <c r="AZ33" i="36" s="1"/>
  <c r="BA33" i="36" s="1"/>
  <c r="BB33" i="36" s="1"/>
  <c r="BC33" i="36" s="1"/>
  <c r="AP51" i="36"/>
  <c r="AO121" i="36"/>
  <c r="AO115" i="36"/>
  <c r="AE418" i="36"/>
  <c r="AN418" i="36"/>
  <c r="AR415" i="36"/>
  <c r="AG418" i="36"/>
  <c r="AI418" i="36"/>
  <c r="AA418" i="36"/>
  <c r="AS392" i="36"/>
  <c r="AK418" i="36"/>
  <c r="I59" i="16" l="1"/>
  <c r="E59" i="16"/>
  <c r="E60" i="16" s="1"/>
  <c r="J59" i="16"/>
  <c r="F59" i="16"/>
  <c r="F60" i="16" s="1"/>
  <c r="T77" i="36"/>
  <c r="T353" i="36" s="1"/>
  <c r="J62" i="16"/>
  <c r="BC59" i="36"/>
  <c r="BD377" i="36"/>
  <c r="BH377" i="36" s="1"/>
  <c r="AD62" i="36"/>
  <c r="AC71" i="36"/>
  <c r="AC70" i="36"/>
  <c r="AC69" i="36"/>
  <c r="AB69" i="36"/>
  <c r="AB71" i="36"/>
  <c r="AB70" i="36"/>
  <c r="BH18" i="36"/>
  <c r="BI18" i="36" s="1"/>
  <c r="BJ18" i="36" s="1"/>
  <c r="BK18" i="36" s="1"/>
  <c r="BL18" i="36" s="1"/>
  <c r="BB323" i="36"/>
  <c r="BC323" i="36" s="1"/>
  <c r="AZ292" i="36"/>
  <c r="AZ321" i="36" s="1"/>
  <c r="BB324" i="36"/>
  <c r="BC324" i="36" s="1"/>
  <c r="AZ293" i="36"/>
  <c r="BD294" i="36"/>
  <c r="BD295" i="36"/>
  <c r="BD32" i="36"/>
  <c r="BE32" i="36" s="1"/>
  <c r="BF32" i="36" s="1"/>
  <c r="BG32" i="36" s="1"/>
  <c r="BH32" i="36" s="1"/>
  <c r="BD33" i="36"/>
  <c r="BE33" i="36" s="1"/>
  <c r="BF33" i="36" s="1"/>
  <c r="BG33" i="36" s="1"/>
  <c r="BH33" i="36" s="1"/>
  <c r="BD31" i="36"/>
  <c r="BE31" i="36" s="1"/>
  <c r="BF31" i="36" s="1"/>
  <c r="BG31" i="36" s="1"/>
  <c r="BH31" i="36" s="1"/>
  <c r="BH59" i="36"/>
  <c r="BI59" i="36" s="1"/>
  <c r="BH21" i="36"/>
  <c r="BD34" i="36"/>
  <c r="BE34" i="36" s="1"/>
  <c r="BF34" i="36" s="1"/>
  <c r="BG34" i="36" s="1"/>
  <c r="BH34" i="36" s="1"/>
  <c r="BD11" i="36"/>
  <c r="BE11" i="36" s="1"/>
  <c r="BF11" i="36" s="1"/>
  <c r="BG11" i="36" s="1"/>
  <c r="Y5" i="36"/>
  <c r="BC79" i="36"/>
  <c r="F55" i="16"/>
  <c r="F56" i="16" s="1"/>
  <c r="G55" i="16"/>
  <c r="H57" i="16" s="1"/>
  <c r="Y62" i="36"/>
  <c r="H56" i="16"/>
  <c r="I39" i="16"/>
  <c r="K39" i="16"/>
  <c r="AF419" i="36"/>
  <c r="AF352" i="36" s="1"/>
  <c r="AJ419" i="36"/>
  <c r="AJ352" i="36" s="1"/>
  <c r="AQ419" i="36"/>
  <c r="AQ352" i="36" s="1"/>
  <c r="Z419" i="36"/>
  <c r="Z352" i="36" s="1"/>
  <c r="AK419" i="36"/>
  <c r="AK352" i="36" s="1"/>
  <c r="AE419" i="36"/>
  <c r="AE352" i="36" s="1"/>
  <c r="AB419" i="36"/>
  <c r="AB352" i="36" s="1"/>
  <c r="AO419" i="36"/>
  <c r="AO352" i="36" s="1"/>
  <c r="AA419" i="36"/>
  <c r="AA352" i="36" s="1"/>
  <c r="AP419" i="36"/>
  <c r="AP352" i="36" s="1"/>
  <c r="AG419" i="36"/>
  <c r="AG352" i="36" s="1"/>
  <c r="AL419" i="36"/>
  <c r="AL352" i="36" s="1"/>
  <c r="BA378" i="36"/>
  <c r="G60" i="16"/>
  <c r="H60" i="16"/>
  <c r="BI264" i="36"/>
  <c r="BB264" i="36"/>
  <c r="AN51" i="36"/>
  <c r="AR51" i="36"/>
  <c r="AM418" i="36"/>
  <c r="AM419" i="36" s="1"/>
  <c r="AM352" i="36" s="1"/>
  <c r="AR418" i="36"/>
  <c r="AR419" i="36" s="1"/>
  <c r="AR352" i="36" s="1"/>
  <c r="T419" i="36"/>
  <c r="T352" i="36" s="1"/>
  <c r="AH418" i="36"/>
  <c r="AH419" i="36" s="1"/>
  <c r="AH352" i="36" s="1"/>
  <c r="AI419" i="36"/>
  <c r="AI352" i="36" s="1"/>
  <c r="AN419" i="36"/>
  <c r="AN352" i="36" s="1"/>
  <c r="AS49" i="36"/>
  <c r="AS51" i="36" s="1"/>
  <c r="AS418" i="36"/>
  <c r="AS419" i="36" s="1"/>
  <c r="AO130" i="36"/>
  <c r="AC418" i="36"/>
  <c r="AC419" i="36" s="1"/>
  <c r="AC352" i="36" s="1"/>
  <c r="BC91" i="36" l="1"/>
  <c r="Y77" i="36"/>
  <c r="Y353" i="36" s="1"/>
  <c r="Y71" i="36"/>
  <c r="Y70" i="36"/>
  <c r="Y69" i="36"/>
  <c r="AD70" i="36"/>
  <c r="AD69" i="36"/>
  <c r="AD71" i="36"/>
  <c r="BJ59" i="36"/>
  <c r="BJ27" i="36" s="1"/>
  <c r="BH11" i="36"/>
  <c r="BI11" i="36" s="1"/>
  <c r="BJ11" i="36" s="1"/>
  <c r="BK11" i="36" s="1"/>
  <c r="BL11" i="36" s="1"/>
  <c r="BI31" i="36"/>
  <c r="BJ31" i="36" s="1"/>
  <c r="BK31" i="36" s="1"/>
  <c r="BL31" i="36" s="1"/>
  <c r="BI33" i="36"/>
  <c r="BJ33" i="36" s="1"/>
  <c r="BK33" i="36" s="1"/>
  <c r="BL33" i="36" s="1"/>
  <c r="BI34" i="36"/>
  <c r="BJ34" i="36" s="1"/>
  <c r="BK34" i="36" s="1"/>
  <c r="BL34" i="36" s="1"/>
  <c r="BI32" i="36"/>
  <c r="BJ32" i="36" s="1"/>
  <c r="BK32" i="36" s="1"/>
  <c r="BL32" i="36" s="1"/>
  <c r="BA293" i="36"/>
  <c r="BA322" i="36" s="1"/>
  <c r="BE295" i="36"/>
  <c r="BI21" i="36"/>
  <c r="BJ21" i="36" s="1"/>
  <c r="BK21" i="36" s="1"/>
  <c r="BL21" i="36" s="1"/>
  <c r="BD324" i="36"/>
  <c r="BE294" i="36"/>
  <c r="BE323" i="36" s="1"/>
  <c r="BA292" i="36"/>
  <c r="BA321" i="36" s="1"/>
  <c r="BD323" i="36"/>
  <c r="AS352" i="36"/>
  <c r="AX417" i="36"/>
  <c r="AZ322" i="36"/>
  <c r="BC202" i="36"/>
  <c r="BC90" i="36"/>
  <c r="BC121" i="36"/>
  <c r="BH80" i="36"/>
  <c r="BC80" i="36"/>
  <c r="BC264" i="36"/>
  <c r="BL264" i="36" s="1"/>
  <c r="BG264" i="36"/>
  <c r="BH264" i="36" s="1"/>
  <c r="AD5" i="36"/>
  <c r="G56" i="16"/>
  <c r="G57" i="16"/>
  <c r="F57" i="16"/>
  <c r="J39" i="16"/>
  <c r="BB378" i="36"/>
  <c r="BK264" i="36"/>
  <c r="AF62" i="36"/>
  <c r="AG62" i="36"/>
  <c r="Y417" i="36"/>
  <c r="Y419" i="36" s="1"/>
  <c r="Y352" i="36" s="1"/>
  <c r="AL351" i="36"/>
  <c r="AE62" i="36"/>
  <c r="AW330" i="36"/>
  <c r="AH62" i="36"/>
  <c r="G68" i="16" l="1"/>
  <c r="F66" i="16"/>
  <c r="G66" i="16"/>
  <c r="G67" i="16"/>
  <c r="F67" i="16"/>
  <c r="BC214" i="36"/>
  <c r="BC213" i="36"/>
  <c r="F68" i="16"/>
  <c r="BC107" i="36"/>
  <c r="BH107" i="36"/>
  <c r="L38" i="16"/>
  <c r="BC106" i="36"/>
  <c r="L43" i="16" s="1"/>
  <c r="BH106" i="36"/>
  <c r="M43" i="16" s="1"/>
  <c r="AD77" i="36"/>
  <c r="AD353" i="36" s="1"/>
  <c r="BC378" i="36"/>
  <c r="AE71" i="36"/>
  <c r="AE70" i="36"/>
  <c r="AE69" i="36"/>
  <c r="AG69" i="36"/>
  <c r="AG70" i="36"/>
  <c r="AG71" i="36"/>
  <c r="AH71" i="36"/>
  <c r="AH69" i="36"/>
  <c r="AH70" i="36"/>
  <c r="AF70" i="36"/>
  <c r="AF69" i="36"/>
  <c r="AF71" i="36"/>
  <c r="BK59" i="36"/>
  <c r="BK27" i="36" s="1"/>
  <c r="AI5" i="36"/>
  <c r="BF294" i="36"/>
  <c r="BB293" i="36"/>
  <c r="BC293" i="36" s="1"/>
  <c r="BF295" i="36"/>
  <c r="BF324" i="36" s="1"/>
  <c r="BE324" i="36"/>
  <c r="BB292" i="36"/>
  <c r="BC292" i="36" s="1"/>
  <c r="BC203" i="36"/>
  <c r="BC196" i="36"/>
  <c r="BC244" i="36"/>
  <c r="BH203" i="36"/>
  <c r="BD376" i="36"/>
  <c r="BH376" i="36" s="1"/>
  <c r="AC351" i="36"/>
  <c r="AK351" i="36"/>
  <c r="AA351" i="36"/>
  <c r="AB351" i="36"/>
  <c r="AE351" i="36"/>
  <c r="AF351" i="36"/>
  <c r="AG351" i="36"/>
  <c r="AQ351" i="36"/>
  <c r="AI62" i="36"/>
  <c r="AP351" i="36"/>
  <c r="AY40" i="36"/>
  <c r="Z351" i="36"/>
  <c r="AO262" i="36"/>
  <c r="AO266" i="36"/>
  <c r="AO351" i="36" s="1"/>
  <c r="BC229" i="36" l="1"/>
  <c r="BH229" i="36"/>
  <c r="BC230" i="36"/>
  <c r="BH230" i="36"/>
  <c r="AI77" i="36"/>
  <c r="AI353" i="36" s="1"/>
  <c r="BD378" i="36"/>
  <c r="AN5" i="36"/>
  <c r="AI69" i="36"/>
  <c r="AI70" i="36"/>
  <c r="AI71" i="36"/>
  <c r="BC58" i="36"/>
  <c r="BL59" i="36"/>
  <c r="BK377" i="36"/>
  <c r="BB321" i="36"/>
  <c r="BC321" i="36" s="1"/>
  <c r="BB322" i="36"/>
  <c r="BC322" i="36" s="1"/>
  <c r="BD293" i="36"/>
  <c r="BD292" i="36"/>
  <c r="BG294" i="36"/>
  <c r="BH294" i="36" s="1"/>
  <c r="BF323" i="36"/>
  <c r="BG295" i="36"/>
  <c r="BH295" i="36" s="1"/>
  <c r="AH351" i="36"/>
  <c r="AK62" i="36"/>
  <c r="AL62" i="36"/>
  <c r="AJ62" i="36"/>
  <c r="I55" i="16"/>
  <c r="AZ40" i="36"/>
  <c r="AI351" i="36"/>
  <c r="H68" i="16" l="1"/>
  <c r="H67" i="16"/>
  <c r="H66" i="16"/>
  <c r="AS5" i="36"/>
  <c r="AN77" i="36"/>
  <c r="AN353" i="36" s="1"/>
  <c r="BL27" i="36"/>
  <c r="BL377" i="36" s="1"/>
  <c r="BE378" i="36"/>
  <c r="AL71" i="36"/>
  <c r="AL70" i="36"/>
  <c r="AL69" i="36"/>
  <c r="AJ71" i="36"/>
  <c r="AJ70" i="36"/>
  <c r="AJ69" i="36"/>
  <c r="AK71" i="36"/>
  <c r="AK70" i="36"/>
  <c r="AK69" i="36"/>
  <c r="BE292" i="36"/>
  <c r="BG323" i="36"/>
  <c r="BH323" i="36" s="1"/>
  <c r="BD321" i="36"/>
  <c r="BE293" i="36"/>
  <c r="BE322" i="36" s="1"/>
  <c r="BI294" i="36"/>
  <c r="BI295" i="36"/>
  <c r="BI324" i="36" s="1"/>
  <c r="BD322" i="36"/>
  <c r="BG324" i="36"/>
  <c r="BH324" i="36" s="1"/>
  <c r="I57" i="16"/>
  <c r="I56" i="16"/>
  <c r="AO62" i="36"/>
  <c r="AQ62" i="36"/>
  <c r="AP62" i="36"/>
  <c r="AM62" i="36"/>
  <c r="AR62" i="36"/>
  <c r="J55" i="16"/>
  <c r="AM351" i="36"/>
  <c r="AD351" i="36"/>
  <c r="I60" i="16"/>
  <c r="AJ351" i="36"/>
  <c r="BA40" i="36"/>
  <c r="C9" i="16"/>
  <c r="AS77" i="36" l="1"/>
  <c r="AS353" i="36" s="1"/>
  <c r="AX5" i="36"/>
  <c r="BF378" i="36"/>
  <c r="AM71" i="36"/>
  <c r="AM70" i="36"/>
  <c r="AM69" i="36"/>
  <c r="AR69" i="36"/>
  <c r="AR71" i="36"/>
  <c r="AR70" i="36"/>
  <c r="AP71" i="36"/>
  <c r="AP70" i="36"/>
  <c r="AP69" i="36"/>
  <c r="AQ69" i="36"/>
  <c r="AQ70" i="36"/>
  <c r="AQ71" i="36"/>
  <c r="AO69" i="36"/>
  <c r="AO71" i="36"/>
  <c r="AO70" i="36"/>
  <c r="BF293" i="36"/>
  <c r="BF292" i="36"/>
  <c r="BJ295" i="36"/>
  <c r="BJ324" i="36" s="1"/>
  <c r="BE321" i="36"/>
  <c r="BJ294" i="36"/>
  <c r="BJ323" i="36" s="1"/>
  <c r="BI323" i="36"/>
  <c r="J56" i="16"/>
  <c r="J57" i="16"/>
  <c r="AN62" i="36"/>
  <c r="AR351" i="36"/>
  <c r="J60" i="16"/>
  <c r="AS62" i="36"/>
  <c r="AN351" i="36"/>
  <c r="AX77" i="36"/>
  <c r="AX353" i="36" s="1"/>
  <c r="BB40" i="36"/>
  <c r="P3" i="16"/>
  <c r="Q3" i="16" s="1"/>
  <c r="C10" i="16"/>
  <c r="E105" i="16" s="1"/>
  <c r="BC5" i="36" l="1"/>
  <c r="BH5" i="36" s="1"/>
  <c r="BG378" i="36"/>
  <c r="BH378" i="36" s="1"/>
  <c r="AN70" i="36"/>
  <c r="AN71" i="36"/>
  <c r="AN69" i="36"/>
  <c r="AS70" i="36"/>
  <c r="AS69" i="36"/>
  <c r="AS71" i="36"/>
  <c r="BC40" i="36"/>
  <c r="BG292" i="36"/>
  <c r="BH292" i="36" s="1"/>
  <c r="BK295" i="36"/>
  <c r="BK324" i="36" s="1"/>
  <c r="BF321" i="36"/>
  <c r="BG293" i="36"/>
  <c r="BH293" i="36" s="1"/>
  <c r="BK294" i="36"/>
  <c r="BF322" i="36"/>
  <c r="AS351" i="36"/>
  <c r="BC77" i="36"/>
  <c r="BC353" i="36" s="1"/>
  <c r="I68" i="16" l="1"/>
  <c r="I67" i="16"/>
  <c r="J68" i="16"/>
  <c r="J66" i="16"/>
  <c r="I66" i="16"/>
  <c r="J67" i="16"/>
  <c r="BI378" i="36"/>
  <c r="BH58" i="36"/>
  <c r="BI58" i="36" s="1"/>
  <c r="BI293" i="36"/>
  <c r="BG322" i="36"/>
  <c r="BH322" i="36" s="1"/>
  <c r="BL295" i="36"/>
  <c r="BL324" i="36" s="1"/>
  <c r="BL294" i="36"/>
  <c r="BL323" i="36" s="1"/>
  <c r="BI292" i="36"/>
  <c r="BI321" i="36" s="1"/>
  <c r="BK323" i="36"/>
  <c r="BG321" i="36"/>
  <c r="BH321" i="36" s="1"/>
  <c r="BD40" i="36"/>
  <c r="BH77" i="36"/>
  <c r="BI5" i="36"/>
  <c r="BJ378" i="36" l="1"/>
  <c r="BJ58" i="36"/>
  <c r="BJ26" i="36" s="1"/>
  <c r="BJ293" i="36"/>
  <c r="BJ322" i="36" s="1"/>
  <c r="BJ292" i="36"/>
  <c r="BJ321" i="36" s="1"/>
  <c r="BI322" i="36"/>
  <c r="BE40" i="36"/>
  <c r="BH353" i="36"/>
  <c r="AY276" i="36"/>
  <c r="AZ276" i="36"/>
  <c r="AX276" i="36"/>
  <c r="BI77" i="36"/>
  <c r="BJ5" i="36"/>
  <c r="BK378" i="36" l="1"/>
  <c r="BL378" i="36"/>
  <c r="BK58" i="36"/>
  <c r="BK26" i="36" s="1"/>
  <c r="BK292" i="36"/>
  <c r="BK321" i="36" s="1"/>
  <c r="BK293" i="36"/>
  <c r="BK322" i="36" s="1"/>
  <c r="BF40" i="36"/>
  <c r="BI353" i="36"/>
  <c r="L39" i="16"/>
  <c r="BB276" i="36"/>
  <c r="BC114" i="36"/>
  <c r="BJ77" i="36"/>
  <c r="BK5" i="36"/>
  <c r="BL58" i="36" l="1"/>
  <c r="BL26" i="36" s="1"/>
  <c r="BK376" i="36"/>
  <c r="BL293" i="36"/>
  <c r="BL322" i="36" s="1"/>
  <c r="BL292" i="36"/>
  <c r="BL321" i="36" s="1"/>
  <c r="BC92" i="36"/>
  <c r="BC108" i="36" s="1"/>
  <c r="BC94" i="36"/>
  <c r="BC237" i="36"/>
  <c r="BC115" i="36"/>
  <c r="BC123" i="36"/>
  <c r="BG40" i="36"/>
  <c r="BH40" i="36" s="1"/>
  <c r="BJ353" i="36"/>
  <c r="BA276" i="36"/>
  <c r="BC269" i="36"/>
  <c r="BK77" i="36"/>
  <c r="BL5" i="36"/>
  <c r="BL77" i="36" s="1"/>
  <c r="BC238" i="36" l="1"/>
  <c r="BC217" i="36"/>
  <c r="BC215" i="36"/>
  <c r="BC109" i="36"/>
  <c r="L46" i="16" s="1"/>
  <c r="BH109" i="36"/>
  <c r="M46" i="16" s="1"/>
  <c r="BL376" i="36"/>
  <c r="BC96" i="36"/>
  <c r="BC124" i="36"/>
  <c r="BC246" i="36"/>
  <c r="BC219" i="36" s="1"/>
  <c r="BL353" i="36"/>
  <c r="BK353" i="36"/>
  <c r="M39" i="16"/>
  <c r="BC276" i="36"/>
  <c r="BC234" i="36" l="1"/>
  <c r="BH234" i="36"/>
  <c r="BC231" i="36"/>
  <c r="BH231" i="36"/>
  <c r="BC232" i="36"/>
  <c r="BH232" i="36"/>
  <c r="BC111" i="36"/>
  <c r="BC247" i="36"/>
  <c r="BI40" i="36"/>
  <c r="BH92" i="36"/>
  <c r="BI92" i="36" l="1"/>
  <c r="BJ92" i="36" s="1"/>
  <c r="BH108" i="36"/>
  <c r="BJ40" i="36"/>
  <c r="BI114" i="36" l="1"/>
  <c r="BI237" i="36" s="1"/>
  <c r="BK40" i="36"/>
  <c r="BK92" i="36"/>
  <c r="BJ114" i="36"/>
  <c r="P39" i="16"/>
  <c r="BI276" i="36"/>
  <c r="BI215" i="36" l="1"/>
  <c r="BI231" i="36" s="1"/>
  <c r="BI217" i="36"/>
  <c r="BI232" i="36" s="1"/>
  <c r="BI94" i="36"/>
  <c r="BL40" i="36"/>
  <c r="BJ115" i="36"/>
  <c r="BJ94" i="36"/>
  <c r="BJ237" i="36"/>
  <c r="BL92" i="36"/>
  <c r="BL114" i="36" s="1"/>
  <c r="BK114" i="36"/>
  <c r="Q39" i="16"/>
  <c r="BJ276" i="36"/>
  <c r="BJ217" i="36" l="1"/>
  <c r="BJ232" i="36" s="1"/>
  <c r="BJ215" i="36"/>
  <c r="BJ231" i="36" s="1"/>
  <c r="BJ238" i="36"/>
  <c r="BK94" i="36"/>
  <c r="BK237" i="36"/>
  <c r="BK115" i="36"/>
  <c r="BL237" i="36"/>
  <c r="BL94" i="36"/>
  <c r="BL115" i="36"/>
  <c r="BK276" i="36"/>
  <c r="BL215" i="36" l="1"/>
  <c r="BL217" i="36"/>
  <c r="BK215" i="36"/>
  <c r="BK231" i="36" s="1"/>
  <c r="BK217" i="36"/>
  <c r="BK232" i="36" s="1"/>
  <c r="BK238" i="36"/>
  <c r="BL238" i="36"/>
  <c r="BL276" i="36"/>
  <c r="BL232" i="36" l="1"/>
  <c r="BL231" i="36"/>
  <c r="BC117" i="36"/>
  <c r="BC98" i="36" s="1"/>
  <c r="BC118" i="36" l="1"/>
  <c r="BC240" i="36"/>
  <c r="BC95" i="36"/>
  <c r="AV62" i="36"/>
  <c r="AU62" i="36"/>
  <c r="AT62" i="36"/>
  <c r="BH96" i="36"/>
  <c r="BC218" i="36" l="1"/>
  <c r="BC233" i="36" s="1"/>
  <c r="BC221" i="36"/>
  <c r="BC110" i="36"/>
  <c r="L45" i="16" s="1"/>
  <c r="BI96" i="36"/>
  <c r="BH111" i="36"/>
  <c r="AU71" i="36"/>
  <c r="AU70" i="36"/>
  <c r="AU69" i="36"/>
  <c r="AT71" i="36"/>
  <c r="AT70" i="36"/>
  <c r="AT69" i="36"/>
  <c r="AV70" i="36"/>
  <c r="AV69" i="36"/>
  <c r="AV71" i="36"/>
  <c r="BC241" i="36"/>
  <c r="AW62" i="36"/>
  <c r="BI123" i="36" l="1"/>
  <c r="BI246" i="36" s="1"/>
  <c r="BJ96" i="36"/>
  <c r="AX62" i="36"/>
  <c r="AW69" i="36"/>
  <c r="AW70" i="36"/>
  <c r="AW71" i="36"/>
  <c r="K55" i="16"/>
  <c r="K60" i="16"/>
  <c r="BI219" i="36" l="1"/>
  <c r="BI234" i="36" s="1"/>
  <c r="BJ123" i="36"/>
  <c r="BJ246" i="36" s="1"/>
  <c r="BJ219" i="36" s="1"/>
  <c r="BK96" i="36"/>
  <c r="AX70" i="36"/>
  <c r="AX69" i="36"/>
  <c r="AX71" i="36"/>
  <c r="K56" i="16"/>
  <c r="K57" i="16"/>
  <c r="BJ234" i="36" l="1"/>
  <c r="K68" i="16"/>
  <c r="K66" i="16"/>
  <c r="K67" i="16"/>
  <c r="BJ124" i="36"/>
  <c r="BJ247" i="36"/>
  <c r="BK123" i="36"/>
  <c r="BK124" i="36" s="1"/>
  <c r="BL96" i="36"/>
  <c r="BK246" i="36" l="1"/>
  <c r="BK219" i="36" s="1"/>
  <c r="BK234" i="36" s="1"/>
  <c r="BL123" i="36"/>
  <c r="BL246" i="36" s="1"/>
  <c r="BL219" i="36" s="1"/>
  <c r="BK247" i="36" l="1"/>
  <c r="BL234" i="36"/>
  <c r="BL247" i="36"/>
  <c r="BL124" i="36"/>
  <c r="AX345" i="36"/>
  <c r="AW345" i="36"/>
  <c r="AX291" i="36" l="1"/>
  <c r="AW320" i="36"/>
  <c r="AX302" i="36" l="1"/>
  <c r="AW331" i="36" l="1"/>
  <c r="AW317" i="36" l="1"/>
  <c r="AT351" i="36" l="1"/>
  <c r="AV351" i="36" l="1"/>
  <c r="AT418" i="36" l="1"/>
  <c r="AT419" i="36" s="1"/>
  <c r="AT352" i="36" s="1"/>
  <c r="AU49" i="36"/>
  <c r="AV418" i="36" l="1"/>
  <c r="AU351" i="36"/>
  <c r="AU418" i="36"/>
  <c r="AW351" i="36"/>
  <c r="AX418" i="36" l="1"/>
  <c r="AW418" i="36"/>
  <c r="AX351" i="36"/>
  <c r="AU419" i="36"/>
  <c r="AT51" i="36"/>
  <c r="AX419" i="36" l="1"/>
  <c r="AX352" i="36" s="1"/>
  <c r="AV419" i="36"/>
  <c r="AV352" i="36" s="1"/>
  <c r="AU352" i="36"/>
  <c r="BC412" i="36"/>
  <c r="AW419" i="36"/>
  <c r="AW352" i="36" s="1"/>
  <c r="AY417" i="36" l="1"/>
  <c r="AU51" i="36"/>
  <c r="AV51" i="36"/>
  <c r="AX51" i="36"/>
  <c r="BC417" i="36"/>
  <c r="C11" i="16" l="1"/>
  <c r="C13" i="16" l="1"/>
  <c r="E104" i="16"/>
  <c r="E106" i="16" s="1"/>
  <c r="C14" i="16" l="1"/>
  <c r="I100" i="16"/>
  <c r="AY392" i="36"/>
  <c r="I106" i="16" l="1"/>
  <c r="W237" i="36" l="1"/>
  <c r="W215" i="36" l="1"/>
  <c r="AB231" i="36" s="1"/>
  <c r="W217" i="36"/>
  <c r="AB232" i="36" s="1"/>
  <c r="W252" i="36"/>
  <c r="W253" i="36" s="1"/>
  <c r="W238" i="36"/>
  <c r="W282" i="36" l="1"/>
  <c r="W259" i="36"/>
  <c r="W266" i="36" s="1"/>
  <c r="W351" i="36" s="1"/>
  <c r="AA62" i="36"/>
  <c r="W278" i="36" l="1"/>
  <c r="W279" i="36" s="1"/>
  <c r="W283" i="36"/>
  <c r="W262" i="36"/>
  <c r="AA70" i="36"/>
  <c r="AA69" i="36"/>
  <c r="AA71" i="36"/>
  <c r="W285" i="36"/>
  <c r="W286" i="36" s="1"/>
  <c r="Z62" i="36"/>
  <c r="BI79" i="36"/>
  <c r="BI91" i="36" s="1"/>
  <c r="BJ80" i="36" l="1"/>
  <c r="W280" i="36"/>
  <c r="Z70" i="36"/>
  <c r="Z69" i="36"/>
  <c r="Z71" i="36"/>
  <c r="BI80" i="36"/>
  <c r="BI202" i="36"/>
  <c r="BI363" i="36" s="1"/>
  <c r="BJ363" i="36" s="1"/>
  <c r="BK363" i="36" s="1"/>
  <c r="BL363" i="36" s="1"/>
  <c r="BI121" i="36"/>
  <c r="BI115" i="36"/>
  <c r="BI124" i="36"/>
  <c r="BC126" i="36"/>
  <c r="BI214" i="36" l="1"/>
  <c r="BI213" i="36"/>
  <c r="BI54" i="36"/>
  <c r="BI9" i="36" s="1"/>
  <c r="N38" i="16"/>
  <c r="N39" i="16" s="1"/>
  <c r="BC97" i="36"/>
  <c r="BC127" i="36"/>
  <c r="BC249" i="36"/>
  <c r="BC129" i="36"/>
  <c r="BI203" i="36"/>
  <c r="BI244" i="36"/>
  <c r="BI196" i="36"/>
  <c r="BI238" i="36"/>
  <c r="BI247" i="36"/>
  <c r="BH97" i="36"/>
  <c r="BI10" i="36" l="1"/>
  <c r="BJ374" i="36" s="1"/>
  <c r="BI27" i="36"/>
  <c r="BI377" i="36" s="1"/>
  <c r="BI55" i="36"/>
  <c r="BI229" i="36"/>
  <c r="BJ229" i="36"/>
  <c r="BI230" i="36"/>
  <c r="BJ230" i="36"/>
  <c r="BC220" i="36"/>
  <c r="BI26" i="36"/>
  <c r="BI376" i="36" s="1"/>
  <c r="BC112" i="36"/>
  <c r="BC130" i="36"/>
  <c r="O39" i="16"/>
  <c r="BI97" i="36"/>
  <c r="BH112" i="36"/>
  <c r="BJ373" i="36"/>
  <c r="BI373" i="36"/>
  <c r="BJ377" i="36"/>
  <c r="BC250" i="36"/>
  <c r="BC252" i="36"/>
  <c r="BI374" i="36" l="1"/>
  <c r="BJ376" i="36"/>
  <c r="BC235" i="36"/>
  <c r="BH235" i="36"/>
  <c r="BI126" i="36"/>
  <c r="BI127" i="36" s="1"/>
  <c r="BJ97" i="36"/>
  <c r="BC253" i="36"/>
  <c r="BJ126" i="36" l="1"/>
  <c r="BJ127" i="36" s="1"/>
  <c r="BI249" i="36"/>
  <c r="BI220" i="36" s="1"/>
  <c r="BI235" i="36" s="1"/>
  <c r="BK97" i="36"/>
  <c r="AY282" i="36"/>
  <c r="BG282" i="36"/>
  <c r="BG283" i="36" s="1"/>
  <c r="BA282" i="36"/>
  <c r="BB282" i="36"/>
  <c r="BF282" i="36"/>
  <c r="BF283" i="36" s="1"/>
  <c r="BJ249" i="36" l="1"/>
  <c r="BJ220" i="36" s="1"/>
  <c r="BJ235" i="36" s="1"/>
  <c r="BI250" i="36"/>
  <c r="BK126" i="36"/>
  <c r="BK127" i="36" s="1"/>
  <c r="BL97" i="36"/>
  <c r="BL126" i="36" s="1"/>
  <c r="BL249" i="36" s="1"/>
  <c r="BL220" i="36" s="1"/>
  <c r="AY283" i="36"/>
  <c r="BA283" i="36"/>
  <c r="BB283" i="36"/>
  <c r="BG278" i="36"/>
  <c r="BG279" i="36" s="1"/>
  <c r="BG285" i="36"/>
  <c r="BG286" i="36" s="1"/>
  <c r="AY285" i="36"/>
  <c r="AY286" i="36" s="1"/>
  <c r="BF278" i="36"/>
  <c r="BF279" i="36" s="1"/>
  <c r="BF285" i="36"/>
  <c r="BF286" i="36" s="1"/>
  <c r="BB285" i="36"/>
  <c r="BB286" i="36" s="1"/>
  <c r="BA285" i="36"/>
  <c r="BA286" i="36" s="1"/>
  <c r="BE282" i="36"/>
  <c r="BE283" i="36" s="1"/>
  <c r="BA278" i="36"/>
  <c r="BA279" i="36" s="1"/>
  <c r="AY62" i="36"/>
  <c r="AY278" i="36"/>
  <c r="AY279" i="36" s="1"/>
  <c r="AZ282" i="36"/>
  <c r="BC282" i="36"/>
  <c r="BB278" i="36"/>
  <c r="BB279" i="36" s="1"/>
  <c r="BK249" i="36" l="1"/>
  <c r="BK220" i="36" s="1"/>
  <c r="BK235" i="36" s="1"/>
  <c r="BJ250" i="36"/>
  <c r="BL127" i="36"/>
  <c r="AZ283" i="36"/>
  <c r="BL250" i="36"/>
  <c r="BC285" i="36"/>
  <c r="BC286" i="36" s="1"/>
  <c r="BC283" i="36"/>
  <c r="AZ62" i="36"/>
  <c r="AZ285" i="36"/>
  <c r="AZ286" i="36" s="1"/>
  <c r="BE285" i="36"/>
  <c r="BE286" i="36" s="1"/>
  <c r="BE278" i="36"/>
  <c r="BE279" i="36" s="1"/>
  <c r="BA62" i="36"/>
  <c r="BB62" i="36"/>
  <c r="BC62" i="36" s="1"/>
  <c r="BC278" i="36"/>
  <c r="BC279" i="36" s="1"/>
  <c r="L55" i="16"/>
  <c r="P4" i="16" s="1"/>
  <c r="AZ278" i="36"/>
  <c r="AZ279" i="36" s="1"/>
  <c r="BD282" i="36"/>
  <c r="BK250" i="36" l="1"/>
  <c r="BL235" i="36"/>
  <c r="BD285" i="36"/>
  <c r="BD286" i="36" s="1"/>
  <c r="BD283" i="36"/>
  <c r="L57" i="16"/>
  <c r="L56" i="16"/>
  <c r="BD62" i="36"/>
  <c r="BE62" i="36"/>
  <c r="BD278" i="36"/>
  <c r="BD279" i="36" s="1"/>
  <c r="BF62" i="36"/>
  <c r="BG62" i="36"/>
  <c r="AY29" i="36" l="1"/>
  <c r="AZ392" i="36" l="1"/>
  <c r="AZ29" i="36" l="1"/>
  <c r="BA392" i="36" l="1"/>
  <c r="BC384" i="36" l="1"/>
  <c r="BA29" i="36"/>
  <c r="BC356" i="36" l="1"/>
  <c r="BB392" i="36"/>
  <c r="BC383" i="36" l="1"/>
  <c r="BC392" i="36" s="1"/>
  <c r="BB29" i="36" l="1"/>
  <c r="BC29" i="36" s="1"/>
  <c r="L62" i="16" l="1"/>
  <c r="BD392" i="36"/>
  <c r="BD29" i="36" l="1"/>
  <c r="BE392" i="36" l="1"/>
  <c r="BE29" i="36" l="1"/>
  <c r="BF392" i="36" l="1"/>
  <c r="BH384" i="36" l="1"/>
  <c r="BI384" i="36" s="1"/>
  <c r="BJ384" i="36" s="1"/>
  <c r="BK384" i="36" s="1"/>
  <c r="BL384" i="36" s="1"/>
  <c r="BF29" i="36" l="1"/>
  <c r="BH383" i="36" l="1"/>
  <c r="BI383" i="36" s="1"/>
  <c r="BJ383" i="36" s="1"/>
  <c r="BK383" i="36" s="1"/>
  <c r="BL383" i="36" s="1"/>
  <c r="BH356" i="36"/>
  <c r="BG392" i="36" l="1"/>
  <c r="BG29" i="36" l="1"/>
  <c r="BH392" i="36"/>
  <c r="BH29" i="36" l="1"/>
  <c r="M62" i="16" l="1"/>
  <c r="BI392" i="36"/>
  <c r="BI29" i="36" l="1"/>
  <c r="N62" i="16" l="1"/>
  <c r="BJ392" i="36"/>
  <c r="BJ29" i="36" l="1"/>
  <c r="O62" i="16" l="1"/>
  <c r="BK392" i="36" l="1"/>
  <c r="BK29" i="36" l="1"/>
  <c r="P62" i="16" s="1"/>
  <c r="BL392" i="36" l="1"/>
  <c r="BL29" i="36" l="1"/>
  <c r="Q62" i="16" l="1"/>
  <c r="BH95" i="36"/>
  <c r="BI95" i="36" s="1"/>
  <c r="BH98" i="36"/>
  <c r="BJ95" i="36" l="1"/>
  <c r="BI117" i="36"/>
  <c r="BH110" i="36"/>
  <c r="M45" i="16" s="1"/>
  <c r="BI98" i="36" l="1"/>
  <c r="BI118" i="36"/>
  <c r="BI129" i="36"/>
  <c r="BJ117" i="36"/>
  <c r="BK95" i="36"/>
  <c r="BK117" i="36" l="1"/>
  <c r="BL95" i="36"/>
  <c r="BJ129" i="36"/>
  <c r="BJ98" i="36"/>
  <c r="BJ118" i="36"/>
  <c r="BI130" i="36"/>
  <c r="BL117" i="36" l="1"/>
  <c r="BJ130" i="36"/>
  <c r="BK129" i="36"/>
  <c r="BK98" i="36"/>
  <c r="BK118" i="36"/>
  <c r="BK130" i="36" l="1"/>
  <c r="BL129" i="36"/>
  <c r="BL98" i="36"/>
  <c r="BL118" i="36"/>
  <c r="BL130" i="36" l="1"/>
  <c r="BH150" i="36"/>
  <c r="BH240" i="36"/>
  <c r="BH252" i="36" s="1"/>
  <c r="BI150" i="36" l="1"/>
  <c r="BH165" i="36"/>
  <c r="BH218" i="36"/>
  <c r="BH233" i="36" s="1"/>
  <c r="BH221" i="36"/>
  <c r="BH282" i="36"/>
  <c r="BH253" i="36"/>
  <c r="M52" i="16"/>
  <c r="BH241" i="36"/>
  <c r="BI172" i="36" l="1"/>
  <c r="BI153" i="36" s="1"/>
  <c r="BJ150" i="36"/>
  <c r="BK150" i="36" s="1"/>
  <c r="BH278" i="36"/>
  <c r="M55" i="16"/>
  <c r="Q4" i="16" s="1"/>
  <c r="BH285" i="36"/>
  <c r="BH62" i="36"/>
  <c r="BH283" i="36"/>
  <c r="BI173" i="36" l="1"/>
  <c r="BI184" i="36"/>
  <c r="BI240" i="36"/>
  <c r="BI241" i="36" s="1"/>
  <c r="BJ172" i="36"/>
  <c r="BJ153" i="36" s="1"/>
  <c r="BI218" i="36"/>
  <c r="BI233" i="36" s="1"/>
  <c r="BI221" i="36"/>
  <c r="BI185" i="36"/>
  <c r="BH286" i="36"/>
  <c r="BK172" i="36"/>
  <c r="BK153" i="36" s="1"/>
  <c r="BL150" i="36"/>
  <c r="M57" i="16"/>
  <c r="M56" i="16"/>
  <c r="BI252" i="36"/>
  <c r="BH279" i="36"/>
  <c r="BJ184" i="36" l="1"/>
  <c r="BJ240" i="36"/>
  <c r="BJ173" i="36"/>
  <c r="BJ218" i="36"/>
  <c r="BJ233" i="36" s="1"/>
  <c r="BJ221" i="36"/>
  <c r="BI282" i="36"/>
  <c r="BI253" i="36"/>
  <c r="BJ185" i="36"/>
  <c r="BJ252" i="36"/>
  <c r="BJ241" i="36"/>
  <c r="BL172" i="36"/>
  <c r="BL153" i="36" s="1"/>
  <c r="BK240" i="36"/>
  <c r="BK173" i="36"/>
  <c r="BK184" i="36"/>
  <c r="BK218" i="36" l="1"/>
  <c r="BK233" i="36" s="1"/>
  <c r="BK221" i="36"/>
  <c r="BJ282" i="36"/>
  <c r="BJ253" i="36"/>
  <c r="BL184" i="36"/>
  <c r="BL240" i="36"/>
  <c r="BL173" i="36"/>
  <c r="BI278" i="36"/>
  <c r="N55" i="16"/>
  <c r="BI285" i="36"/>
  <c r="BI62" i="36"/>
  <c r="BI283" i="36"/>
  <c r="BK252" i="36"/>
  <c r="BK241" i="36"/>
  <c r="BK185" i="36"/>
  <c r="BL218" i="36" l="1"/>
  <c r="BL233" i="36" s="1"/>
  <c r="BL221" i="36"/>
  <c r="BK282" i="36"/>
  <c r="BK253" i="36"/>
  <c r="BL252" i="36"/>
  <c r="BL241" i="36"/>
  <c r="BL185" i="36"/>
  <c r="BI286" i="36"/>
  <c r="N57" i="16"/>
  <c r="N56" i="16"/>
  <c r="BI279" i="36"/>
  <c r="BJ278" i="36"/>
  <c r="O55" i="16"/>
  <c r="BJ285" i="36"/>
  <c r="BJ62" i="36"/>
  <c r="BJ283" i="36"/>
  <c r="O56" i="16" l="1"/>
  <c r="O57" i="16"/>
  <c r="BJ279" i="36"/>
  <c r="BL253" i="36"/>
  <c r="BL282" i="36"/>
  <c r="BK278" i="36"/>
  <c r="P55" i="16"/>
  <c r="BK285" i="36"/>
  <c r="BK62" i="36"/>
  <c r="BK283" i="36"/>
  <c r="BJ286" i="36"/>
  <c r="P56" i="16" l="1"/>
  <c r="P57" i="16"/>
  <c r="BK286" i="36"/>
  <c r="BK279" i="36"/>
  <c r="BL283" i="36"/>
  <c r="BL278" i="36"/>
  <c r="Q55" i="16"/>
  <c r="BL285" i="36"/>
  <c r="BL62" i="36"/>
  <c r="Q56" i="16" l="1"/>
  <c r="Q57" i="16"/>
  <c r="BL279" i="36"/>
  <c r="BL286" i="36"/>
  <c r="AY66" i="36"/>
  <c r="AZ66" i="36"/>
  <c r="BA66" i="36"/>
  <c r="BB66" i="36"/>
  <c r="BC66" i="36" s="1"/>
  <c r="BC301" i="36"/>
  <c r="BD301" i="36" s="1"/>
  <c r="BE301" i="36" s="1"/>
  <c r="BF301" i="36" s="1"/>
  <c r="BG301" i="36" s="1"/>
  <c r="AY330" i="36"/>
  <c r="AZ330" i="36"/>
  <c r="BA330" i="36"/>
  <c r="BB330" i="36"/>
  <c r="BD66" i="36" l="1"/>
  <c r="BD330" i="36"/>
  <c r="BC330" i="36"/>
  <c r="BE330" i="36"/>
  <c r="BE66" i="36"/>
  <c r="BF66" i="36" l="1"/>
  <c r="BF330" i="36"/>
  <c r="BH301" i="36" l="1"/>
  <c r="BI301" i="36" s="1"/>
  <c r="BJ301" i="36" s="1"/>
  <c r="BK301" i="36" s="1"/>
  <c r="BL301" i="36" s="1"/>
  <c r="BG66" i="36"/>
  <c r="BG330" i="36"/>
  <c r="BH330" i="36" s="1"/>
  <c r="BH66" i="36" l="1"/>
  <c r="BI330" i="36"/>
  <c r="BI66" i="36" l="1"/>
  <c r="BJ330" i="36"/>
  <c r="BJ66" i="36" l="1"/>
  <c r="BK66" i="36" l="1"/>
  <c r="BL66" i="36"/>
  <c r="BK330" i="36"/>
  <c r="BL330" i="36" l="1"/>
  <c r="AY7" i="36" l="1"/>
  <c r="AZ7" i="36"/>
  <c r="BA7" i="36"/>
  <c r="BB7" i="36"/>
  <c r="BC7" i="36"/>
  <c r="BD7" i="36"/>
  <c r="BE7" i="36"/>
  <c r="BF7" i="36"/>
  <c r="BG7" i="36"/>
  <c r="BH7" i="36"/>
  <c r="BI7" i="36"/>
  <c r="BJ7" i="36"/>
  <c r="BK7" i="36"/>
  <c r="BL7" i="36"/>
  <c r="AY12" i="36"/>
  <c r="AZ12" i="36"/>
  <c r="BA12" i="36"/>
  <c r="BB12" i="36"/>
  <c r="BC12" i="36"/>
  <c r="BD12" i="36"/>
  <c r="BE12" i="36"/>
  <c r="BF12" i="36"/>
  <c r="BG12" i="36"/>
  <c r="BH12" i="36"/>
  <c r="BI12" i="36"/>
  <c r="BJ12" i="36"/>
  <c r="BK12" i="36"/>
  <c r="BL12" i="36"/>
  <c r="AY23" i="36"/>
  <c r="AZ23" i="36"/>
  <c r="BA23" i="36"/>
  <c r="BB23" i="36"/>
  <c r="BC23" i="36"/>
  <c r="BD23" i="36"/>
  <c r="BE23" i="36"/>
  <c r="BF23" i="36"/>
  <c r="BG23" i="36"/>
  <c r="BH23" i="36"/>
  <c r="BI23" i="36"/>
  <c r="BJ23" i="36"/>
  <c r="BK23" i="36"/>
  <c r="BL23" i="36"/>
  <c r="AY30" i="36"/>
  <c r="AZ30" i="36"/>
  <c r="BA30" i="36"/>
  <c r="BB30" i="36"/>
  <c r="BC30" i="36"/>
  <c r="BD30" i="36"/>
  <c r="BE30" i="36"/>
  <c r="BF30" i="36"/>
  <c r="BG30" i="36"/>
  <c r="BH30" i="36"/>
  <c r="BI30" i="36"/>
  <c r="BJ30" i="36"/>
  <c r="BK30" i="36"/>
  <c r="BL30" i="36"/>
  <c r="AY37" i="36"/>
  <c r="AZ37" i="36"/>
  <c r="BA37" i="36"/>
  <c r="BB37" i="36"/>
  <c r="BC37" i="36"/>
  <c r="BD37" i="36"/>
  <c r="BE37" i="36"/>
  <c r="BF37" i="36"/>
  <c r="BG37" i="36"/>
  <c r="BH37" i="36"/>
  <c r="BI37" i="36"/>
  <c r="BJ37" i="36"/>
  <c r="BK37" i="36"/>
  <c r="BL37" i="36"/>
  <c r="AY44" i="36"/>
  <c r="AZ44" i="36"/>
  <c r="BA44" i="36"/>
  <c r="BB44" i="36"/>
  <c r="BC44" i="36"/>
  <c r="BD44" i="36"/>
  <c r="BE44" i="36"/>
  <c r="BF44" i="36"/>
  <c r="BG44" i="36"/>
  <c r="BH44" i="36"/>
  <c r="BI44" i="36"/>
  <c r="BJ44" i="36"/>
  <c r="BK44" i="36"/>
  <c r="BL44" i="36"/>
  <c r="AY47" i="36"/>
  <c r="AZ47" i="36"/>
  <c r="BA47" i="36"/>
  <c r="BB47" i="36"/>
  <c r="BC47" i="36"/>
  <c r="BD47" i="36"/>
  <c r="BE47" i="36"/>
  <c r="BF47" i="36"/>
  <c r="BG47" i="36"/>
  <c r="BH47" i="36"/>
  <c r="BI47" i="36"/>
  <c r="BJ47" i="36"/>
  <c r="BK47" i="36"/>
  <c r="BL47" i="36"/>
  <c r="AY49" i="36"/>
  <c r="AZ49" i="36"/>
  <c r="BA49" i="36"/>
  <c r="BB49" i="36"/>
  <c r="BC49" i="36"/>
  <c r="BD49" i="36"/>
  <c r="BE49" i="36"/>
  <c r="BF49" i="36"/>
  <c r="BG49" i="36"/>
  <c r="BH49" i="36"/>
  <c r="BI49" i="36"/>
  <c r="BJ49" i="36"/>
  <c r="BK49" i="36"/>
  <c r="BL49" i="36"/>
  <c r="AY51" i="36"/>
  <c r="AZ51" i="36"/>
  <c r="BA51" i="36"/>
  <c r="BB51" i="36"/>
  <c r="BC51" i="36"/>
  <c r="BD51" i="36"/>
  <c r="BE51" i="36"/>
  <c r="BF51" i="36"/>
  <c r="BG51" i="36"/>
  <c r="BH51" i="36"/>
  <c r="BI51" i="36"/>
  <c r="BJ51" i="36"/>
  <c r="BK51" i="36"/>
  <c r="BL51" i="36"/>
  <c r="AZ52" i="36"/>
  <c r="BA52" i="36"/>
  <c r="BB52" i="36"/>
  <c r="BC52" i="36"/>
  <c r="BD52" i="36"/>
  <c r="BE52" i="36"/>
  <c r="BF52" i="36"/>
  <c r="BG52" i="36"/>
  <c r="BH52" i="36"/>
  <c r="BI52" i="36"/>
  <c r="BJ52" i="36"/>
  <c r="BK52" i="36"/>
  <c r="BL52" i="36"/>
  <c r="AY64" i="36"/>
  <c r="AZ64" i="36"/>
  <c r="BA64" i="36"/>
  <c r="BB64" i="36"/>
  <c r="BC64" i="36"/>
  <c r="BD64" i="36"/>
  <c r="BE64" i="36"/>
  <c r="BF64" i="36"/>
  <c r="BG64" i="36"/>
  <c r="BH64" i="36"/>
  <c r="BI64" i="36"/>
  <c r="BJ64" i="36"/>
  <c r="BK64" i="36"/>
  <c r="BL64" i="36"/>
  <c r="AY67" i="36"/>
  <c r="AZ67" i="36"/>
  <c r="BA67" i="36"/>
  <c r="BB67" i="36"/>
  <c r="BC67" i="36"/>
  <c r="BD67" i="36"/>
  <c r="BE67" i="36"/>
  <c r="BF67" i="36"/>
  <c r="BG67" i="36"/>
  <c r="BH67" i="36"/>
  <c r="BI67" i="36"/>
  <c r="BJ67" i="36"/>
  <c r="BK67" i="36"/>
  <c r="BL67" i="36"/>
  <c r="AY69" i="36"/>
  <c r="AZ69" i="36"/>
  <c r="BA69" i="36"/>
  <c r="BB69" i="36"/>
  <c r="BC69" i="36"/>
  <c r="BD69" i="36"/>
  <c r="BE69" i="36"/>
  <c r="BF69" i="36"/>
  <c r="BG69" i="36"/>
  <c r="BH69" i="36"/>
  <c r="BI69" i="36"/>
  <c r="BJ69" i="36"/>
  <c r="BK69" i="36"/>
  <c r="BL69" i="36"/>
  <c r="AY70" i="36"/>
  <c r="AZ70" i="36"/>
  <c r="BA70" i="36"/>
  <c r="BB70" i="36"/>
  <c r="BC70" i="36"/>
  <c r="BD70" i="36"/>
  <c r="BE70" i="36"/>
  <c r="BF70" i="36"/>
  <c r="BG70" i="36"/>
  <c r="BH70" i="36"/>
  <c r="BI70" i="36"/>
  <c r="BJ70" i="36"/>
  <c r="BK70" i="36"/>
  <c r="BL70" i="36"/>
  <c r="AY71" i="36"/>
  <c r="AZ71" i="36"/>
  <c r="BA71" i="36"/>
  <c r="BB71" i="36"/>
  <c r="BC71" i="36"/>
  <c r="BD71" i="36"/>
  <c r="BE71" i="36"/>
  <c r="BF71" i="36"/>
  <c r="BG71" i="36"/>
  <c r="BH71" i="36"/>
  <c r="BI71" i="36"/>
  <c r="BJ71" i="36"/>
  <c r="BK71" i="36"/>
  <c r="BL71" i="36"/>
  <c r="AY255" i="36"/>
  <c r="AZ255" i="36"/>
  <c r="BA255" i="36"/>
  <c r="BB255" i="36"/>
  <c r="BC255" i="36"/>
  <c r="BD255" i="36"/>
  <c r="BE255" i="36"/>
  <c r="BF255" i="36"/>
  <c r="BG255" i="36"/>
  <c r="BH255" i="36"/>
  <c r="BI255" i="36"/>
  <c r="BJ255" i="36"/>
  <c r="BK255" i="36"/>
  <c r="BL255" i="36"/>
  <c r="AY259" i="36"/>
  <c r="AZ259" i="36"/>
  <c r="BA259" i="36"/>
  <c r="BB259" i="36"/>
  <c r="BC259" i="36"/>
  <c r="BD259" i="36"/>
  <c r="BE259" i="36"/>
  <c r="BF259" i="36"/>
  <c r="BG259" i="36"/>
  <c r="BH259" i="36"/>
  <c r="BI259" i="36"/>
  <c r="BJ259" i="36"/>
  <c r="BK259" i="36"/>
  <c r="BL259" i="36"/>
  <c r="AY261" i="36"/>
  <c r="AZ261" i="36"/>
  <c r="BA261" i="36"/>
  <c r="BB261" i="36"/>
  <c r="BC261" i="36"/>
  <c r="BD261" i="36"/>
  <c r="BE261" i="36"/>
  <c r="BF261" i="36"/>
  <c r="BG261" i="36"/>
  <c r="BH261" i="36"/>
  <c r="BI261" i="36"/>
  <c r="BJ261" i="36"/>
  <c r="BK261" i="36"/>
  <c r="BL261" i="36"/>
  <c r="BC262" i="36"/>
  <c r="BH262" i="36"/>
  <c r="AY266" i="36"/>
  <c r="AZ266" i="36"/>
  <c r="BA266" i="36"/>
  <c r="BB266" i="36"/>
  <c r="BC266" i="36"/>
  <c r="BD266" i="36"/>
  <c r="BE266" i="36"/>
  <c r="BF266" i="36"/>
  <c r="BG266" i="36"/>
  <c r="BH266" i="36"/>
  <c r="BI266" i="36"/>
  <c r="BJ266" i="36"/>
  <c r="BK266" i="36"/>
  <c r="BL266" i="36"/>
  <c r="AY280" i="36"/>
  <c r="AZ280" i="36"/>
  <c r="BA280" i="36"/>
  <c r="BB280" i="36"/>
  <c r="BC280" i="36"/>
  <c r="BD280" i="36"/>
  <c r="BE280" i="36"/>
  <c r="BF280" i="36"/>
  <c r="BG280" i="36"/>
  <c r="BH280" i="36"/>
  <c r="BI280" i="36"/>
  <c r="BJ280" i="36"/>
  <c r="BK280" i="36"/>
  <c r="BL280" i="36"/>
  <c r="AY288" i="36"/>
  <c r="AZ288" i="36"/>
  <c r="BA288" i="36"/>
  <c r="BB288" i="36"/>
  <c r="BC288" i="36"/>
  <c r="BD288" i="36"/>
  <c r="BE288" i="36"/>
  <c r="BF288" i="36"/>
  <c r="BG288" i="36"/>
  <c r="BH288" i="36"/>
  <c r="BI288" i="36"/>
  <c r="BJ288" i="36"/>
  <c r="BK288" i="36"/>
  <c r="BL288" i="36"/>
  <c r="AY291" i="36"/>
  <c r="AZ291" i="36"/>
  <c r="BA291" i="36"/>
  <c r="BB291" i="36"/>
  <c r="BC291" i="36"/>
  <c r="BD291" i="36"/>
  <c r="BE291" i="36"/>
  <c r="BF291" i="36"/>
  <c r="BG291" i="36"/>
  <c r="BH291" i="36"/>
  <c r="BI291" i="36"/>
  <c r="BJ291" i="36"/>
  <c r="BK291" i="36"/>
  <c r="BL291" i="36"/>
  <c r="AY302" i="36"/>
  <c r="AZ302" i="36"/>
  <c r="BA302" i="36"/>
  <c r="BB302" i="36"/>
  <c r="BC302" i="36"/>
  <c r="BD302" i="36"/>
  <c r="BE302" i="36"/>
  <c r="BF302" i="36"/>
  <c r="BG302" i="36"/>
  <c r="BH302" i="36"/>
  <c r="BI302" i="36"/>
  <c r="BJ302" i="36"/>
  <c r="BK302" i="36"/>
  <c r="BL302" i="36"/>
  <c r="AY317" i="36"/>
  <c r="AZ317" i="36"/>
  <c r="BA317" i="36"/>
  <c r="BB317" i="36"/>
  <c r="BD317" i="36"/>
  <c r="BE317" i="36"/>
  <c r="BF317" i="36"/>
  <c r="BG317" i="36"/>
  <c r="BI317" i="36"/>
  <c r="BJ317" i="36"/>
  <c r="BK317" i="36"/>
  <c r="BL317" i="36"/>
  <c r="AY320" i="36"/>
  <c r="AZ320" i="36"/>
  <c r="BA320" i="36"/>
  <c r="BB320" i="36"/>
  <c r="BC320" i="36"/>
  <c r="BD320" i="36"/>
  <c r="BE320" i="36"/>
  <c r="BF320" i="36"/>
  <c r="BG320" i="36"/>
  <c r="BH320" i="36"/>
  <c r="BI320" i="36"/>
  <c r="BJ320" i="36"/>
  <c r="BK320" i="36"/>
  <c r="BL320" i="36"/>
  <c r="AY331" i="36"/>
  <c r="AZ331" i="36"/>
  <c r="BA331" i="36"/>
  <c r="BB331" i="36"/>
  <c r="BC331" i="36"/>
  <c r="BD331" i="36"/>
  <c r="BE331" i="36"/>
  <c r="BF331" i="36"/>
  <c r="BG331" i="36"/>
  <c r="BH331" i="36"/>
  <c r="BI331" i="36"/>
  <c r="BJ331" i="36"/>
  <c r="BK331" i="36"/>
  <c r="BL331" i="36"/>
  <c r="AY344" i="36"/>
  <c r="AZ344" i="36"/>
  <c r="BA344" i="36"/>
  <c r="BB344" i="36"/>
  <c r="BC344" i="36"/>
  <c r="BD344" i="36"/>
  <c r="BE344" i="36"/>
  <c r="BF344" i="36"/>
  <c r="BG344" i="36"/>
  <c r="BH344" i="36"/>
  <c r="BI344" i="36"/>
  <c r="BJ344" i="36"/>
  <c r="BK344" i="36"/>
  <c r="BL344" i="36"/>
  <c r="AY345" i="36"/>
  <c r="AZ345" i="36"/>
  <c r="BA345" i="36"/>
  <c r="BB345" i="36"/>
  <c r="BC345" i="36"/>
  <c r="BD345" i="36"/>
  <c r="BE345" i="36"/>
  <c r="BF345" i="36"/>
  <c r="BG345" i="36"/>
  <c r="BH345" i="36"/>
  <c r="BI345" i="36"/>
  <c r="BJ345" i="36"/>
  <c r="BK345" i="36"/>
  <c r="BL345" i="36"/>
  <c r="AY351" i="36"/>
  <c r="AZ351" i="36"/>
  <c r="BA351" i="36"/>
  <c r="BB351" i="36"/>
  <c r="BC351" i="36"/>
  <c r="BD351" i="36"/>
  <c r="BE351" i="36"/>
  <c r="BF351" i="36"/>
  <c r="BG351" i="36"/>
  <c r="BH351" i="36"/>
  <c r="BI351" i="36"/>
  <c r="BJ351" i="36"/>
  <c r="BK351" i="36"/>
  <c r="BL351" i="36"/>
  <c r="AY352" i="36"/>
  <c r="AZ352" i="36"/>
  <c r="BA352" i="36"/>
  <c r="BB352" i="36"/>
  <c r="BC352" i="36"/>
  <c r="BD352" i="36"/>
  <c r="BE352" i="36"/>
  <c r="BF352" i="36"/>
  <c r="BG352" i="36"/>
  <c r="BH352" i="36"/>
  <c r="BI352" i="36"/>
  <c r="BJ352" i="36"/>
  <c r="BK352" i="36"/>
  <c r="BL352" i="36"/>
  <c r="AY355" i="36"/>
  <c r="AZ355" i="36"/>
  <c r="BA355" i="36"/>
  <c r="BB355" i="36"/>
  <c r="BC355" i="36"/>
  <c r="BD355" i="36"/>
  <c r="BE355" i="36"/>
  <c r="BF355" i="36"/>
  <c r="BG355" i="36"/>
  <c r="BH355" i="36"/>
  <c r="BI355" i="36"/>
  <c r="BJ355" i="36"/>
  <c r="BK355" i="36"/>
  <c r="BL355" i="36"/>
  <c r="AY381" i="36"/>
  <c r="AZ381" i="36"/>
  <c r="BA381" i="36"/>
  <c r="BB381" i="36"/>
  <c r="BC381" i="36"/>
  <c r="BD381" i="36"/>
  <c r="BE381" i="36"/>
  <c r="BF381" i="36"/>
  <c r="BG381" i="36"/>
  <c r="BH381" i="36"/>
  <c r="BI381" i="36"/>
  <c r="BJ381" i="36"/>
  <c r="BK381" i="36"/>
  <c r="BL381" i="36"/>
  <c r="AY398" i="36"/>
  <c r="AZ398" i="36"/>
  <c r="BA398" i="36"/>
  <c r="BB398" i="36"/>
  <c r="BC398" i="36"/>
  <c r="BD398" i="36"/>
  <c r="BE398" i="36"/>
  <c r="BF398" i="36"/>
  <c r="BG398" i="36"/>
  <c r="BH398" i="36"/>
  <c r="BI398" i="36"/>
  <c r="BJ398" i="36"/>
  <c r="BK398" i="36"/>
  <c r="BL398" i="36"/>
  <c r="AY415" i="36"/>
  <c r="AZ415" i="36"/>
  <c r="BA415" i="36"/>
  <c r="BB415" i="36"/>
  <c r="BC415" i="36"/>
  <c r="BD415" i="36"/>
  <c r="BE415" i="36"/>
  <c r="BF415" i="36"/>
  <c r="BG415" i="36"/>
  <c r="BH415" i="36"/>
  <c r="BI415" i="36"/>
  <c r="BJ415" i="36"/>
  <c r="BK415" i="36"/>
  <c r="BL415" i="36"/>
  <c r="AZ417" i="36"/>
  <c r="BA417" i="36"/>
  <c r="BB417" i="36"/>
  <c r="BD417" i="36"/>
  <c r="BE417" i="36"/>
  <c r="BF417" i="36"/>
  <c r="BG417" i="36"/>
  <c r="BH417" i="36"/>
  <c r="BI417" i="36"/>
  <c r="BJ417" i="36"/>
  <c r="BK417" i="36"/>
  <c r="BL417" i="36"/>
  <c r="AY418" i="36"/>
  <c r="AZ418" i="36"/>
  <c r="BA418" i="36"/>
  <c r="BB418" i="36"/>
  <c r="BC418" i="36"/>
  <c r="BD418" i="36"/>
  <c r="BE418" i="36"/>
  <c r="BF418" i="36"/>
  <c r="BG418" i="36"/>
  <c r="BH418" i="36"/>
  <c r="BI418" i="36"/>
  <c r="BJ418" i="36"/>
  <c r="BK418" i="36"/>
  <c r="BL418" i="36"/>
  <c r="AY419" i="36"/>
  <c r="AZ419" i="36"/>
  <c r="BA419" i="36"/>
  <c r="BB419" i="36"/>
  <c r="BC419" i="36"/>
  <c r="BD419" i="36"/>
  <c r="BE419" i="36"/>
  <c r="BF419" i="36"/>
  <c r="BG419" i="36"/>
  <c r="BH419" i="36"/>
  <c r="BI419" i="36"/>
  <c r="BJ419" i="36"/>
  <c r="BK419" i="36"/>
  <c r="BL419" i="36"/>
  <c r="AY421" i="36"/>
  <c r="AZ421" i="36"/>
  <c r="BA421" i="36"/>
  <c r="BB421" i="36"/>
  <c r="BC421" i="36"/>
  <c r="BD421" i="36"/>
  <c r="BE421" i="36"/>
  <c r="BF421" i="36"/>
  <c r="BG421" i="36"/>
  <c r="BH421" i="36"/>
  <c r="BI421" i="36"/>
  <c r="BJ421" i="36"/>
  <c r="BK421" i="36"/>
  <c r="BL421" i="36"/>
  <c r="L59" i="16"/>
  <c r="M59" i="16"/>
  <c r="N59" i="16"/>
  <c r="O59" i="16"/>
  <c r="P59" i="16"/>
  <c r="Q59" i="16"/>
  <c r="L60" i="16"/>
  <c r="M60" i="16"/>
  <c r="N60" i="16"/>
  <c r="O60" i="16"/>
  <c r="P60" i="16"/>
  <c r="Q60" i="16"/>
  <c r="L63" i="16"/>
  <c r="M63" i="16"/>
  <c r="N63" i="16"/>
  <c r="O63" i="16"/>
  <c r="P63" i="16"/>
  <c r="Q63" i="16"/>
  <c r="L64" i="16"/>
  <c r="M64" i="16"/>
  <c r="N64" i="16"/>
  <c r="O64" i="16"/>
  <c r="P64" i="16"/>
  <c r="Q64" i="16"/>
  <c r="L66" i="16"/>
  <c r="M66" i="16"/>
  <c r="N66" i="16"/>
  <c r="O66" i="16"/>
  <c r="P66" i="16"/>
  <c r="Q66" i="16"/>
  <c r="L67" i="16"/>
  <c r="M67" i="16"/>
  <c r="N67" i="16"/>
  <c r="O67" i="16"/>
  <c r="P67" i="16"/>
  <c r="Q67" i="16"/>
  <c r="L68" i="16"/>
  <c r="M68" i="16"/>
  <c r="N68" i="16"/>
  <c r="O68" i="16"/>
  <c r="P68" i="16"/>
  <c r="Q6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AW30" authorId="0" shapeId="0" xr:uid="{791C3D1E-9D45-4A6D-AEF4-3A7BB00D1420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drew down revolver to pay $346M legal related to 2021 bankruptcy</t>
        </r>
      </text>
    </comment>
    <comment ref="E190" authorId="0" shapeId="0" xr:uid="{4B3B7F7A-DE77-4F1A-860E-37E1C19A0971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F190" authorId="0" shapeId="0" xr:uid="{05DA5287-905D-4D4A-8822-AC833CE3FD3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G190" authorId="0" shapeId="0" xr:uid="{31376306-6DFD-4AB4-95FD-F22547A4FC8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H190" authorId="0" shapeId="0" xr:uid="{9CE53E8D-D04D-4FC8-9D30-6B8A56B0314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I190" authorId="0" shapeId="0" xr:uid="{D9972520-4153-43E6-94C8-00371017A427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J190" authorId="0" shapeId="0" xr:uid="{BFDF37B8-2365-420C-A558-B60639CF5841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K190" authorId="0" shapeId="0" xr:uid="{7CBB8FCB-6DC3-4A64-AF94-B739B9E31AF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L190" authorId="0" shapeId="0" xr:uid="{069A955F-BECF-4250-84D1-2D4420AC2613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M190" authorId="0" shapeId="0" xr:uid="{435FA6DE-035A-4EFA-90FE-49C38E23D4D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N190" authorId="0" shapeId="0" xr:uid="{F069B716-4C14-4CEA-ABBD-7058F9E063F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O190" authorId="0" shapeId="0" xr:uid="{61EFCF0F-8D89-422D-9F66-7DB7AE07D042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P190" authorId="0" shapeId="0" xr:uid="{DCA345B3-8066-4665-827F-8E2B78060A16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Q190" authorId="0" shapeId="0" xr:uid="{040E49E7-9ACF-4F42-8259-721F50064E3E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R190" authorId="0" shapeId="0" xr:uid="{26941FE8-FFB4-459A-9C3C-FDA84D65B3A6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S190" authorId="0" shapeId="0" xr:uid="{9B248764-22DB-401D-86FD-EACCB54B4BE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T190" authorId="0" shapeId="0" xr:uid="{AF2994D3-EE21-4E93-A741-5961D2A24A11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U190" authorId="0" shapeId="0" xr:uid="{4FD220AC-AF41-491A-A46E-149DC436F0B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V190" authorId="0" shapeId="0" xr:uid="{142377F8-554B-4CD4-91D1-DFD883F68018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W190" authorId="0" shapeId="0" xr:uid="{4EB604FB-1037-4A5F-A7C9-9F3710783E6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X190" authorId="0" shapeId="0" xr:uid="{5B1D4371-36C1-4A23-8286-5A375C8CAEB1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Z190" authorId="0" shapeId="0" xr:uid="{A3B50DCE-9002-416B-BA0F-C6C6C8AE1EF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E193" authorId="0" shapeId="0" xr:uid="{5A670C68-A0AF-4E6E-BACB-9E93BEF99F2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F193" authorId="0" shapeId="0" xr:uid="{112E486C-0F7B-4BE4-BF32-BF021E4091D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G193" authorId="0" shapeId="0" xr:uid="{A59DC690-BBD4-4E1C-882D-70DD2E26613A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H193" authorId="0" shapeId="0" xr:uid="{B25E8CB9-A887-4AD8-863E-098497D5EE51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I193" authorId="0" shapeId="0" xr:uid="{86E90762-113C-4C79-9BE3-CE32A7D15E05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J193" authorId="0" shapeId="0" xr:uid="{6840770D-B5FE-42AB-A8AC-B09D35885B4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K193" authorId="0" shapeId="0" xr:uid="{A8C0ED1B-8E5A-409D-9980-A3E7F62ACDE2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L193" authorId="0" shapeId="0" xr:uid="{65E56629-BAB0-4274-A314-49BC98D8FE9A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M193" authorId="0" shapeId="0" xr:uid="{99649C1F-2827-49AC-AB2A-85FB2E740E1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N193" authorId="0" shapeId="0" xr:uid="{64B1F5AA-2291-4A99-935F-95009B0D42A6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O193" authorId="0" shapeId="0" xr:uid="{8B5A6C85-6559-469C-B744-E3FBCEE33282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P193" authorId="0" shapeId="0" xr:uid="{9E23A6C2-429A-468A-BC87-94324358FF9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Q193" authorId="0" shapeId="0" xr:uid="{C78FC875-D280-46FE-B2ED-E1EC8E17A9F3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R193" authorId="0" shapeId="0" xr:uid="{5A703C1F-B476-4796-8AC2-11CFC72AD9EB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S193" authorId="0" shapeId="0" xr:uid="{F173A4E8-2C96-40FF-8F94-65D36F10FF8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T193" authorId="0" shapeId="0" xr:uid="{03B81122-5F60-4E6D-B78A-FE840E78FC1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U193" authorId="0" shapeId="0" xr:uid="{626B845A-B189-4D5A-A347-CA89E46F6D9D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V193" authorId="0" shapeId="0" xr:uid="{307A6100-4218-4711-85F4-9E46BDFD486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W193" authorId="0" shapeId="0" xr:uid="{C9BFA0E9-7FE7-48B9-B696-04978C9F17B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X193" authorId="0" shapeId="0" xr:uid="{1E11611A-7A62-4375-9471-E437C94875A6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E198" authorId="0" shapeId="0" xr:uid="{C9EE0854-8646-4560-8044-D00FE61B3A0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F198" authorId="0" shapeId="0" xr:uid="{B97CDFA7-D9C5-40B9-9CD6-E5D5E919E6EA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G198" authorId="0" shapeId="0" xr:uid="{B0A8167E-40C6-4DBE-9AD5-51E7E76BEF85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H198" authorId="0" shapeId="0" xr:uid="{DFFF63C1-F0AF-4915-B45B-7E0C802BB628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I198" authorId="0" shapeId="0" xr:uid="{D2F5384F-4572-4904-BC11-50A2C917629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J198" authorId="0" shapeId="0" xr:uid="{7634B884-C3AA-4640-B0A2-56E5FEABD21D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K198" authorId="0" shapeId="0" xr:uid="{D7C2C206-7242-476B-9A4F-239FC1F79B69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L198" authorId="0" shapeId="0" xr:uid="{60A2F63B-B562-4799-8E90-7F75E6BE057B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M198" authorId="0" shapeId="0" xr:uid="{D6E52093-FCF4-4F8C-9168-467DE16C0730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N198" authorId="0" shapeId="0" xr:uid="{3D4F5349-8F52-48F9-AFFE-F656A8C518B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O198" authorId="0" shapeId="0" xr:uid="{C2FB77E2-6CB6-446E-BBCD-7767B7109AD5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P198" authorId="0" shapeId="0" xr:uid="{3D7DFF60-388B-48C9-A5E7-BD823251CF04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Q198" authorId="0" shapeId="0" xr:uid="{FCF8CC07-7C02-4AA6-8586-0B6A52F97AE2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R198" authorId="0" shapeId="0" xr:uid="{253C24E3-FA56-45B5-BACF-1C32DE324276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S198" authorId="0" shapeId="0" xr:uid="{88533344-3F91-4087-907E-927509FE138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T198" authorId="0" shapeId="0" xr:uid="{79E3B03A-C9D7-4FB7-97DB-F5E60747113B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U198" authorId="0" shapeId="0" xr:uid="{CD6655A2-48F6-4736-BA48-2CE9D93E6C2F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V198" authorId="0" shapeId="0" xr:uid="{4A09000F-9FF8-4393-924A-661E6C0CE25C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W198" authorId="0" shapeId="0" xr:uid="{7A9C89D9-3811-4F01-81E1-9F1911038215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X198" authorId="0" shapeId="0" xr:uid="{5CFAF453-C33F-41FD-A5E2-1AE39DCEDD47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Z198" authorId="0" shapeId="0" xr:uid="{2FB80BB7-69C5-4F1F-98D5-155A0EB21CB0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Donlen</t>
        </r>
      </text>
    </comment>
    <comment ref="C270" authorId="0" shapeId="0" xr:uid="{A04AB1FC-81E1-4858-977A-DAD348FAEA2E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Represents vehicle debt-related charges relating to the amortization of deferred financing costs and debt discounts and premiums.</t>
        </r>
      </text>
    </comment>
    <comment ref="C272" authorId="0" shapeId="0" xr:uid="{E94708EE-8763-429F-999C-A91198E07A2E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Represents unrealized (gains) losses on derivative financial instruments</t>
        </r>
      </text>
    </comment>
    <comment ref="C273" authorId="0" shapeId="0" xr:uid="{79C373E0-6AB7-4D57-9150-19A908AE9F40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Represents miscellaneous items. For the three months ended March 31, 2025, primarily includes certain litigation charges, certain IT-related charges and certain concession-related adjustments. For the three months ended March 31, 2024, primarily includes certain IT-related charges, partially offset by certain litigation settlements.</t>
        </r>
      </text>
    </comment>
    <comment ref="AO275" authorId="0" shapeId="0" xr:uid="{FC9BC8C5-EAA0-4951-9153-C3685E6918A2}">
      <text>
        <r>
          <rPr>
            <b/>
            <sz val="9"/>
            <color indexed="81"/>
            <rFont val="Tahoma"/>
            <family val="2"/>
          </rPr>
          <t>ThinkPad:</t>
        </r>
        <r>
          <rPr>
            <sz val="9"/>
            <color indexed="81"/>
            <rFont val="Tahoma"/>
            <family val="2"/>
          </rPr>
          <t xml:space="preserve">
SBC forfeiture</t>
        </r>
      </text>
    </comment>
  </commentList>
</comments>
</file>

<file path=xl/sharedStrings.xml><?xml version="1.0" encoding="utf-8"?>
<sst xmlns="http://schemas.openxmlformats.org/spreadsheetml/2006/main" count="722" uniqueCount="369">
  <si>
    <t>Assets</t>
  </si>
  <si>
    <t>Equity</t>
  </si>
  <si>
    <t>Tax rate</t>
  </si>
  <si>
    <t>EBIT</t>
  </si>
  <si>
    <t>Currency</t>
  </si>
  <si>
    <t>Name</t>
  </si>
  <si>
    <t>Last price</t>
  </si>
  <si>
    <t>Net shares outstanding</t>
  </si>
  <si>
    <t>Market capitalization</t>
  </si>
  <si>
    <t>Ticker</t>
  </si>
  <si>
    <t>Strike</t>
  </si>
  <si>
    <t>Dilution</t>
  </si>
  <si>
    <t>Growth</t>
  </si>
  <si>
    <t>#</t>
  </si>
  <si>
    <t>Fully diluted shrs</t>
  </si>
  <si>
    <t>Goodwill</t>
  </si>
  <si>
    <t>Liabilities</t>
  </si>
  <si>
    <t>Total current assets</t>
  </si>
  <si>
    <t>Total assets</t>
  </si>
  <si>
    <t>Total liabilities</t>
  </si>
  <si>
    <t>Minority interest</t>
  </si>
  <si>
    <t>Total equity</t>
  </si>
  <si>
    <t>Total liabilities and SHE</t>
  </si>
  <si>
    <t>Balancing line</t>
  </si>
  <si>
    <t>Pre-tax income</t>
  </si>
  <si>
    <t>Tax provision</t>
  </si>
  <si>
    <t>Cash from operations</t>
  </si>
  <si>
    <t>Cash from financing</t>
  </si>
  <si>
    <t>Beg cash</t>
  </si>
  <si>
    <t>Ending cash</t>
  </si>
  <si>
    <t>Income statement</t>
  </si>
  <si>
    <t>Shares out. all classes (mn)</t>
  </si>
  <si>
    <t>Balance Sheet</t>
  </si>
  <si>
    <t>Change in cash</t>
  </si>
  <si>
    <t>General inputs</t>
  </si>
  <si>
    <t>Cash flow statement</t>
  </si>
  <si>
    <t>Summary</t>
  </si>
  <si>
    <t>Options/Warrants</t>
  </si>
  <si>
    <t>Plus:  Debt</t>
  </si>
  <si>
    <t>Valuation Summary</t>
  </si>
  <si>
    <t>Revenue</t>
  </si>
  <si>
    <t xml:space="preserve">   Growth</t>
  </si>
  <si>
    <t xml:space="preserve">   Margin</t>
  </si>
  <si>
    <t>FY end</t>
  </si>
  <si>
    <t>1Q</t>
  </si>
  <si>
    <t>2Q</t>
  </si>
  <si>
    <t>3Q</t>
  </si>
  <si>
    <t>4Q</t>
  </si>
  <si>
    <t>Notes</t>
  </si>
  <si>
    <t>USD</t>
  </si>
  <si>
    <t>Net Revenue</t>
  </si>
  <si>
    <t>Other, Net</t>
  </si>
  <si>
    <t>Cash from Investing</t>
  </si>
  <si>
    <t>Margin</t>
  </si>
  <si>
    <t>Maturity</t>
  </si>
  <si>
    <t>Coupon</t>
  </si>
  <si>
    <t>Current Price</t>
  </si>
  <si>
    <t>YTM</t>
  </si>
  <si>
    <t>Interest Expense</t>
  </si>
  <si>
    <t>Covenants</t>
  </si>
  <si>
    <t>Preferred Dividends</t>
  </si>
  <si>
    <t>GAAP Net Income</t>
  </si>
  <si>
    <t>Adjusted EBITDA</t>
  </si>
  <si>
    <t>Net (loss) income prior to preferred div.</t>
  </si>
  <si>
    <t>Extraordinary items-Above EBIT</t>
  </si>
  <si>
    <t>Total 1x Items Above EBIT</t>
  </si>
  <si>
    <t>Check</t>
  </si>
  <si>
    <t>Market Value</t>
  </si>
  <si>
    <t>Other Cash from Financing</t>
  </si>
  <si>
    <t>% of net Rev</t>
  </si>
  <si>
    <t>CAPITAL STRUCTURE</t>
  </si>
  <si>
    <t>History</t>
  </si>
  <si>
    <t>Other</t>
  </si>
  <si>
    <t>Total</t>
  </si>
  <si>
    <t>% of Rev</t>
  </si>
  <si>
    <t>Adj. EBITDA</t>
  </si>
  <si>
    <t>Debt Detail</t>
  </si>
  <si>
    <t>Interest Rate</t>
  </si>
  <si>
    <t>Change in Debt</t>
  </si>
  <si>
    <t>Average</t>
  </si>
  <si>
    <t>Net 1st Lien / Adj. EBITDA</t>
  </si>
  <si>
    <t>Interest Exp</t>
  </si>
  <si>
    <t>Adjusted EBITA</t>
  </si>
  <si>
    <t>Enterprise Value</t>
  </si>
  <si>
    <t xml:space="preserve">   Cushion</t>
  </si>
  <si>
    <t>Plus: Equity Value</t>
  </si>
  <si>
    <t>Main Assets</t>
  </si>
  <si>
    <t>Net Consolidated Debt</t>
  </si>
  <si>
    <t>Cash and cash equivalents</t>
  </si>
  <si>
    <t>Accounts payable</t>
  </si>
  <si>
    <t>Deferred income taxes, net</t>
  </si>
  <si>
    <t>Operating lease liabilities</t>
  </si>
  <si>
    <t>Additional paid-in capital</t>
  </si>
  <si>
    <t>Preferred stock</t>
  </si>
  <si>
    <t>Common stock</t>
  </si>
  <si>
    <t>Financial Summary - Consolidated</t>
  </si>
  <si>
    <t>100%</t>
  </si>
  <si>
    <t>Adj. EV/EBITDA</t>
  </si>
  <si>
    <t>na</t>
  </si>
  <si>
    <t>PF Principal (12/25)</t>
  </si>
  <si>
    <t>Collateral Package</t>
  </si>
  <si>
    <t>Guarantors</t>
  </si>
  <si>
    <t>HTZ</t>
  </si>
  <si>
    <t>Hertz Global Holdings, Inc.</t>
  </si>
  <si>
    <t>Fixed</t>
  </si>
  <si>
    <t>Fix/Floating</t>
  </si>
  <si>
    <t>Floating</t>
  </si>
  <si>
    <t>Issuer</t>
  </si>
  <si>
    <t>Term B Loan</t>
  </si>
  <si>
    <t>Incremental Term B Loan</t>
  </si>
  <si>
    <t>Term C Loan</t>
  </si>
  <si>
    <t>12.625% First Lien Senior Secured Notes</t>
  </si>
  <si>
    <t>Total 1st Lien Secured Debt</t>
  </si>
  <si>
    <t>5.500% Exchangeable Sr Notes Due 2030</t>
  </si>
  <si>
    <t>4.625% Senior Notes Due 2026</t>
  </si>
  <si>
    <t>5.000% Senior Notes Due 2029</t>
  </si>
  <si>
    <t>Other Non-Vehicle Debt</t>
  </si>
  <si>
    <t>Total Unsecured Debt</t>
  </si>
  <si>
    <t>Less: Unamortized Debt Issuance Discounts, etc.</t>
  </si>
  <si>
    <t>Warrants (HTZWW)</t>
  </si>
  <si>
    <t>Hertz Corp</t>
  </si>
  <si>
    <t>SOFR+3.00-3.50%</t>
  </si>
  <si>
    <t>SOFR+3.25-3.50%</t>
  </si>
  <si>
    <t>SOFR+3.75%</t>
  </si>
  <si>
    <t>HGH, RCIH, US. Subs</t>
  </si>
  <si>
    <t>1st lien</t>
  </si>
  <si>
    <t>Unsecured</t>
  </si>
  <si>
    <t>8.000% Exchangeable Notes (2L) (PIK)</t>
  </si>
  <si>
    <t>HGH, RCIH, US. Subs on an unsecured basis</t>
  </si>
  <si>
    <t>First Lien RCF ($1.7B facility; $578M Available but will have $278M after June 2028)</t>
  </si>
  <si>
    <t>Less: Unrestricted Cash</t>
  </si>
  <si>
    <t>Exchangeable Notes-2029</t>
  </si>
  <si>
    <t>Exchangeable Notes-2030</t>
  </si>
  <si>
    <t>RSU/Options</t>
  </si>
  <si>
    <t>Plus: Self-Insured Liabilities</t>
  </si>
  <si>
    <t>2011: Acquired Donlen Corporation, expanding into fleet leasing / fleet management beyond pure daily rental cars.</t>
  </si>
  <si>
    <t>2014: Hit by a major accounting review / restatement, withdrew guidance, and faced governance turmoil; Carl Icahn built a stake and won board influence, increasing pressure on management and strategy.</t>
  </si>
  <si>
    <t>2020: COVID crushed travel demand; Hertz filed for Chapter 11 in May 2020 as liquidity and used-car-market conditions deteriorated.</t>
  </si>
  <si>
    <t>2021: Sold Donlen to Athene during bankruptcy, reducing non-core exposure and raising cash.</t>
  </si>
  <si>
    <t>2021: Relaunched as a public company and made a high-profile EV push, including the widely publicized 100,000 Tesla order and the Uber/Tesla rental partnership.</t>
  </si>
  <si>
    <t>2022: Stephen Scherr became CEO; Hertz benefited from the post-COVID travel rebound and posted record full-year 2022 net income and adjusted corporate EBITDA.</t>
  </si>
  <si>
    <t>2024: The EV strategy partially reversed: Hertz announced it would sell ~20,000 EVs and reinvest part of the proceeds into ICE vehicles, reflecting weak EV rental economics and high repair / depreciation costs. Gil West was also appointed CEO effective April 1, 2024.</t>
  </si>
  <si>
    <t>2024: Faced operating and balance-sheet pressure; obtained covenant relief under Amendment No. 8 and issued expensive rescue-style capital, including 12.625% first-lien secured notes and 8.000% second-lien exchangeable PIK notes due 2029.</t>
  </si>
  <si>
    <t>2025: Extended major pieces of its liquidity stack, including $1.665 billion of RCF commitments and $2.860 billion of HVF III U.S. vehicle variable funding commitments; also issued $425 million of 5.500% exchangeable senior notes due 2030 to help refinance debt and support the turnaround.</t>
  </si>
  <si>
    <t>2005: Ford agreed to sell Hertz to a private-equity consortium led by CD&amp;R, Carlyle, and ML PE, beginning Hertz's modern LBO era.</t>
  </si>
  <si>
    <t>2006: IPO in November 2006.</t>
  </si>
  <si>
    <t>2012: Acquired Dollar Thrifty Automotive Group; materially strengthened its value-brand exposure through Dollar and Thrifty.</t>
  </si>
  <si>
    <t>2016: Completed the spin-off of Herc Holdings / Herc Rentals, separating the equipment-rental business and leaving HTZ as a more focused vehicle-rental company</t>
  </si>
  <si>
    <t>2021: Selected the Certares / Knighthead / Apollo-backed exit proposal</t>
  </si>
  <si>
    <t>2025: Under Gil West, Hertz leaned into a "Back-to-Basics" turnaround centered on tighter fleet management, pricing discipline, utilization, and cost control rather than the earlier EV / mobility-growth narrative.</t>
  </si>
  <si>
    <t>│</t>
  </si>
  <si>
    <t>───</t>
  </si>
  <si>
    <t>─┬─</t>
  </si>
  <si>
    <t>─┴─</t>
  </si>
  <si>
    <t>Other Subsidiaries
Insurance / Captive:
• Probus Insurance Co.
  Europe Ltd. (Ireland)
• Hertz Intl RE Ltd. (IE)
Treasury / Finance:
• Hertz Intl Treasury
  Limited (Ireland)
• Hertz Finance Centre
  Limited (Ireland)
Legacy / Misc Subs</t>
  </si>
  <si>
    <t>Organizational Structure</t>
  </si>
  <si>
    <t>Hertz Vehicle Financing III LLC
(HVF III — US Vehicle ABS Issuer)
Delaware SPV, Bankruptcy-Remote
Vehicle Debt: $9.9B
Multiple ABS series (2021-1 thru 2025-6)
VFN (variable funding): $1.5B 
Medium term notes: $8.3B
Ring-fenced from corporate creditors</t>
  </si>
  <si>
    <t>Americas RAC Segment
(Core US / Canada / LatAm Operations)
Key operating subsidiaries:
• Dollar Thrifty Auto Group, Inc.
• Firefly Rent A Car LLC
• Hertz Car Sales LLC
• Hertz FHV #1 through #13, LLC
• Thrifty Insurance Agency, Inc.
• Hertz Car Exchange, Inc.</t>
  </si>
  <si>
    <t>International RAC Segment
(Europe, UK, Australia, NZ &amp; Other)
Key Operating Subsidiaries:
• Hertz (UK) Limited
• Hertz Autovermietung GmbH (DE)
• Hertz Italiana Srl (IT)</t>
  </si>
  <si>
    <t xml:space="preserve">Americas RAC: 442,000 vehicles </t>
  </si>
  <si>
    <t>International RAC: 96,000 vehicles</t>
  </si>
  <si>
    <t>LEGEND
■ Yellow: Financing / Debt
■ Green: Core Operations
■ Black: Holdco / Support</t>
  </si>
  <si>
    <t>HERTZ GLOBAL HOLDINGS, INC.
(Ultimate Parent, SEC Filer, NASDAQ: HTZ)
Cash: $0 at parent level
Debt: $0 at parent level
No operations.  Only an equity/warrant issuer.  No Material Assets
Parent Guarantor</t>
  </si>
  <si>
    <t>THE HERTZ CORPORATION
(SEC Co-Filer, Main OpCo &amp; Debt Issuer/Borrower, Delaware)
ALL operations, revenue, assets, fleet, &amp; EBITDA sit here and below
Non-Vehicle (Corporate) Debt: $5.9B
The only corporate debt issuer</t>
  </si>
  <si>
    <t>Liquidity</t>
  </si>
  <si>
    <t>Revolver Availaibility</t>
  </si>
  <si>
    <t>Unrestricted Cash</t>
  </si>
  <si>
    <t xml:space="preserve">      Less: LOC</t>
  </si>
  <si>
    <t xml:space="preserve">      Less: Drawn</t>
  </si>
  <si>
    <t>26K employees</t>
  </si>
  <si>
    <t>Corporate Debt: $5.9B</t>
  </si>
  <si>
    <t>ABS: $9.9B</t>
  </si>
  <si>
    <t>Self-insured Liabilities</t>
  </si>
  <si>
    <t>Management team</t>
  </si>
  <si>
    <t>Main Liabilities</t>
  </si>
  <si>
    <t>Airport Locations: 2,000 Americas, 1,500 Intl; leased</t>
  </si>
  <si>
    <t>Non-Airport Locations: 2,600 Americas, 4,800 Intl; leased</t>
  </si>
  <si>
    <t>Brands: Hertz, Dollar, Thrifty.  Some franchisees</t>
  </si>
  <si>
    <t>Rental Car Intermediate Holdings, LLC
(Intermediate Holdco, Delaware)
Pass-through; no independent operations
Guarantor</t>
  </si>
  <si>
    <t>Financial Statements - HTZ</t>
  </si>
  <si>
    <t>Total receivables, net</t>
  </si>
  <si>
    <t>Prepaid expenses and other assets</t>
  </si>
  <si>
    <t>Revenue earning vehicles:</t>
  </si>
  <si>
    <t>Vehicles</t>
  </si>
  <si>
    <t>Less: accumulated depreciation</t>
  </si>
  <si>
    <t>Total revenue earning vehicles, net</t>
  </si>
  <si>
    <t>Property and equipment, net</t>
  </si>
  <si>
    <t>Operating lease right-of-use assets</t>
  </si>
  <si>
    <t>Intangible assets, net</t>
  </si>
  <si>
    <t>Restricted cash and cash equivalents</t>
  </si>
  <si>
    <t>Other current assets</t>
  </si>
  <si>
    <t>Accrued liabilities</t>
  </si>
  <si>
    <t>Accrued taxes, net</t>
  </si>
  <si>
    <t>Public Warrants</t>
  </si>
  <si>
    <t>Self-insured liabilities</t>
  </si>
  <si>
    <t>Retained earnings (Accumulated deficit)</t>
  </si>
  <si>
    <t>Accumulated other comprehensive income (loss)</t>
  </si>
  <si>
    <t>Treasury stock</t>
  </si>
  <si>
    <t>Depreciation and reserves for revenue earning vehicles, net</t>
  </si>
  <si>
    <t>Depreciation and amortization, non-vehicle</t>
  </si>
  <si>
    <t>Amortization of deferred financing costs and debt discount (premium)</t>
  </si>
  <si>
    <t>Non-cash paid-in-kind ("PIK") interest on Exchangeable Notes</t>
  </si>
  <si>
    <t>Stock-based compensation charges</t>
  </si>
  <si>
    <t>Stock-based compensation forfeitures</t>
  </si>
  <si>
    <t>Provision for receivables allowance</t>
  </si>
  <si>
    <t>(Gain) loss on sale of non-vehicle capital assets</t>
  </si>
  <si>
    <t>Change in fair value of Public Warrants</t>
  </si>
  <si>
    <t>Changes in financial instruments</t>
  </si>
  <si>
    <t>Non-vehicle receivables</t>
  </si>
  <si>
    <t>Non-vehicle accounts payable</t>
  </si>
  <si>
    <t>Revenue earning vehicles expenditures</t>
  </si>
  <si>
    <t>Proceeds from disposal of revenue earning vehicles</t>
  </si>
  <si>
    <t>Non-vehicle capital asset expenditures</t>
  </si>
  <si>
    <t>Proceeds from disposal of non-vehicle capital assets</t>
  </si>
  <si>
    <t>Return of (investment in) equity investments</t>
  </si>
  <si>
    <t>Payment of financing costs</t>
  </si>
  <si>
    <t>Effect of foreign currency exchange rate changes on cash and cash equivalents and restricted cash and cash equivalents</t>
  </si>
  <si>
    <t>Proceeds from issuance of debt</t>
  </si>
  <si>
    <t>Repayments of debt</t>
  </si>
  <si>
    <t>Long-lived Asset Impairment</t>
  </si>
  <si>
    <t>Purchase of Capped Call Transactions 2030, net</t>
  </si>
  <si>
    <t>Share Repurchase</t>
  </si>
  <si>
    <t>Reorganization items, net</t>
  </si>
  <si>
    <t>Collateral returned in exchange for letters of credit</t>
  </si>
  <si>
    <t>Proceeds from the sale of a business, net of cash sold</t>
  </si>
  <si>
    <t>Contributions from (distributions to) noncontrolling interests</t>
  </si>
  <si>
    <t>Loss on extinguishment of debt</t>
  </si>
  <si>
    <t>Collateral payments</t>
  </si>
  <si>
    <t>Proceeds from Plan Sponsors</t>
  </si>
  <si>
    <t>Proceeds from Rights Offering, net</t>
  </si>
  <si>
    <t>Proceeds from the issuance of preferred stock, net</t>
  </si>
  <si>
    <t>Distributions to common stockholders</t>
  </si>
  <si>
    <t>Proceeds from exercises of Public Warrants</t>
  </si>
  <si>
    <t>Early redemption payments</t>
  </si>
  <si>
    <t>Technology-related intangible and other asset impairments</t>
  </si>
  <si>
    <t>(Gain) loss from the sale of a business</t>
  </si>
  <si>
    <t>Sales of marketable securities</t>
  </si>
  <si>
    <t>Proceeds from issuance of common stock, net</t>
  </si>
  <si>
    <t>Proceeds from 2021 Rights Offering, net</t>
  </si>
  <si>
    <t>Repurchase of preferred stock</t>
  </si>
  <si>
    <t>Proceeds from issuance of debt - Vehicle</t>
  </si>
  <si>
    <t>Repayments of debt - Vehicle</t>
  </si>
  <si>
    <t>Assets held for sale</t>
  </si>
  <si>
    <t>Liabilities held for sale</t>
  </si>
  <si>
    <t>Liabilities subject to compromise</t>
  </si>
  <si>
    <t>Noncontrolling interests</t>
  </si>
  <si>
    <t>Debt - Vehicle</t>
  </si>
  <si>
    <t>Debt - Non-Vehicle</t>
  </si>
  <si>
    <t>Americas RAC</t>
  </si>
  <si>
    <t>Depreciation of revenue earning vehicles and lease charges, net</t>
  </si>
  <si>
    <t>Direct vehicle and operating expenses</t>
  </si>
  <si>
    <t>Non-vehicle depreciation and amortization</t>
  </si>
  <si>
    <t>Selling, general and administrative expenses</t>
  </si>
  <si>
    <t>Vehicle interest expense</t>
  </si>
  <si>
    <t>International RAC</t>
  </si>
  <si>
    <t>Consolidated</t>
  </si>
  <si>
    <t>Corporate</t>
  </si>
  <si>
    <t>% of Total Rev</t>
  </si>
  <si>
    <t>Interest Expense - Corporate Only</t>
  </si>
  <si>
    <t>Restructuring Charges</t>
  </si>
  <si>
    <t>Other Items</t>
  </si>
  <si>
    <t>Vehicle Debt related charges</t>
  </si>
  <si>
    <t>Non-Vehicle Depreciation &amp; Amortization</t>
  </si>
  <si>
    <t>Direct Vehicle &amp; Operating Expenses</t>
  </si>
  <si>
    <t>Non-vehicle debt-related charges</t>
  </si>
  <si>
    <t>Unrealized (gains) losses on financial instruments</t>
  </si>
  <si>
    <t>Other Expenses</t>
  </si>
  <si>
    <t>Percentage of program vehicles as of period end</t>
  </si>
  <si>
    <t>Transaction Days (in thousands)</t>
  </si>
  <si>
    <t>Average Vehicles (in whole units)</t>
  </si>
  <si>
    <t>Average Rentable Vehicles (in whole units)</t>
  </si>
  <si>
    <t>Vehicle Utilization</t>
  </si>
  <si>
    <t>Total RPD (in dollars)</t>
  </si>
  <si>
    <t>Total RPU Per Month (in whole dollars)</t>
  </si>
  <si>
    <t>Depreciation Per Unit Per Month (in whole dollars)</t>
  </si>
  <si>
    <t>Number of Days in Period</t>
  </si>
  <si>
    <t>Available Car Day</t>
  </si>
  <si>
    <t>Foreign Currency Adjustments</t>
  </si>
  <si>
    <t>Foreign Currency Adjustments - on depreciation</t>
  </si>
  <si>
    <t>After-tax EBITA/Tangible Assets</t>
  </si>
  <si>
    <t>Adjusted FCF</t>
  </si>
  <si>
    <t>Vehicle Intereset Expense</t>
  </si>
  <si>
    <t>Depreciation of Rev earning vehicles and others</t>
  </si>
  <si>
    <t>DOE per Average Unit Per Day</t>
  </si>
  <si>
    <t>Depreciation Per Unit Per Day</t>
  </si>
  <si>
    <t>SG&amp;A Per Average Unit Per Day</t>
  </si>
  <si>
    <t>Vehicle Interest Per Average Unit Per Day</t>
  </si>
  <si>
    <t>Utilization</t>
  </si>
  <si>
    <t>LTM Adj. EBITDA</t>
  </si>
  <si>
    <t>LTM Revenue</t>
  </si>
  <si>
    <t>Receivables As % of LTM Rev</t>
  </si>
  <si>
    <t>Prepaid As % of LTM Rev</t>
  </si>
  <si>
    <t>Restricted Cash As % of LTM Rev</t>
  </si>
  <si>
    <t>Accounts payable as % of LTM Rev</t>
  </si>
  <si>
    <t>Accrued liabilities as % of LTM rev</t>
  </si>
  <si>
    <t>Working Capital</t>
  </si>
  <si>
    <t>Leverage - Corporate Only</t>
  </si>
  <si>
    <t xml:space="preserve">   - Total Size (Starting June 2026)</t>
  </si>
  <si>
    <t>1st Lien Debt</t>
  </si>
  <si>
    <t>2nd Lien Debt</t>
  </si>
  <si>
    <t>Unsecured Debt</t>
  </si>
  <si>
    <t>Net 2nd Lien  / Adj. EBITDA</t>
  </si>
  <si>
    <t>Net Total Debt  / Adj. EBITDA</t>
  </si>
  <si>
    <t>Adjusted EBITDA + Vehicle Interest Expense</t>
  </si>
  <si>
    <t>Discounts</t>
  </si>
  <si>
    <t>Average # of Rentable Vehicles</t>
  </si>
  <si>
    <t>Adjusted FCF (Mine)</t>
  </si>
  <si>
    <t>Change in Value of Public Warrants, Asset Impairments, etc.</t>
  </si>
  <si>
    <t>Rental Car Intermediate Holdings, LLC</t>
  </si>
  <si>
    <t>Dollar Rent A Car, Inc.</t>
  </si>
  <si>
    <t>Dollar Thrifty Automotive Group, Inc.</t>
  </si>
  <si>
    <t>DTG Operations, Inc.</t>
  </si>
  <si>
    <t>DTG Supply, LLC</t>
  </si>
  <si>
    <t>Firefly Rent A Car LLC</t>
  </si>
  <si>
    <t>Hertz Car Sales LLC</t>
  </si>
  <si>
    <t>Hertz Global Services Corporation</t>
  </si>
  <si>
    <t>Hertz Local Edition Corp.</t>
  </si>
  <si>
    <t>Hertz Local Edition Transporting, Inc.</t>
  </si>
  <si>
    <t>Hertz System, Inc.</t>
  </si>
  <si>
    <t>Hertz Technologies, Inc.</t>
  </si>
  <si>
    <t>Hertz Transporting, Inc.</t>
  </si>
  <si>
    <t>Rental Car Group Company, LLC</t>
  </si>
  <si>
    <t>Smartz Vehicle Rental Corporation</t>
  </si>
  <si>
    <t>Thrifty Car Sales, Inc.</t>
  </si>
  <si>
    <t>Thrifty, LLC</t>
  </si>
  <si>
    <t>Thrifty Rent-A-Car System, LLC</t>
  </si>
  <si>
    <t>TRAC Asia Pacific, Inc.</t>
  </si>
  <si>
    <t>Hertz FHV #1, LLC</t>
  </si>
  <si>
    <t>Hertz FHV #2, LLC</t>
  </si>
  <si>
    <t>Hertz FHV #3, LLC</t>
  </si>
  <si>
    <t>Hertz FHV #4, LLC</t>
  </si>
  <si>
    <t>Hertz FHV #5, LLC</t>
  </si>
  <si>
    <t>Hertz FHV #6, LLC</t>
  </si>
  <si>
    <t>Hertz FHV #7, LLC</t>
  </si>
  <si>
    <t>Hertz FHV #8, LLC</t>
  </si>
  <si>
    <t>Hertz FHV #9, LLC</t>
  </si>
  <si>
    <t>Hertz FHV #10, LLC</t>
  </si>
  <si>
    <t>Hertz FHV #11, LLC</t>
  </si>
  <si>
    <t>Hertz FHV #12, LLC</t>
  </si>
  <si>
    <t>Hertz FHV #13, LLC</t>
  </si>
  <si>
    <t>Hertz FHV #14, LLC</t>
  </si>
  <si>
    <t>Hertz FHV #15, LLC</t>
  </si>
  <si>
    <t>Hertz FHV #16, LLC</t>
  </si>
  <si>
    <t>Hertz Mobility Holdings, LLC</t>
  </si>
  <si>
    <t>Hertz Global Holdings, Inc. (Unsecured)</t>
  </si>
  <si>
    <t>ABS financing subs ring-fenced</t>
  </si>
  <si>
    <t>Corporate Credit Facility Guarantor List:</t>
  </si>
  <si>
    <t>Intl Fleet Financing Entities
(European ABS &amp; Other Vehicle Debt)
Generally not directly owned by The Hertz Corporation, but sits in regional/international structure.  But they are not typically owned by international operating subs
Vehicle Debt: $1.8B
Intl Fleet Financing No. 2 B.V. (25% owned)
Hertz Fleet Financing UK Ltd
European ABS
Canadian Securitization
Austrialian Securitization
New Zealand RCF
UK ABS
Ring-fenced from corporate creditors</t>
  </si>
  <si>
    <t>100% (mostly)</t>
  </si>
  <si>
    <t>'25 Leverage/LTV</t>
  </si>
  <si>
    <t>First Lien RCF ($1.665B facility; $543M Available but will have $243M after June 2028)</t>
  </si>
  <si>
    <t>Paid $346M to Well Fargo related to 2021 Bankruptcy in Jan 2026.  Owed unsecured bonds make-whole premium and post-petition interest. Minimum liquidity covenant of $400M in 2Q and 3Q and $500M in 1Q and 4Q. $681M LOC.  Only $278M of availability by June 2028.  Trades in two pieces: REVEXIT and REV EXT.  The REVEXIT is maturing June 2026, trading at 96.  the REVEXT is the March 2028 maturity one.</t>
  </si>
  <si>
    <t>Total Consolidated Debt (Vehicle &amp; Non-Vehicle)</t>
  </si>
  <si>
    <t>Direct Operating Expenses per unit per day Growth</t>
  </si>
  <si>
    <t>Depreciation per unit per day Growth</t>
  </si>
  <si>
    <t>Reported FCF</t>
  </si>
  <si>
    <t>Total Debt - Vehicle</t>
  </si>
  <si>
    <t>Total Debt - Non-Vehicle</t>
  </si>
  <si>
    <t>Total Unrestricted Cash</t>
  </si>
  <si>
    <t>Revenue Per Day Growth</t>
  </si>
  <si>
    <t>Total Current Liquidity</t>
  </si>
  <si>
    <t>2nd lien</t>
  </si>
  <si>
    <t xml:space="preserve">   1st. Lien Net Leverage (RCF &amp; TL)</t>
  </si>
  <si>
    <t>Minimum Liquidity</t>
  </si>
  <si>
    <t>$400M in 2Q/3Q; $500M in 1Q/4Q</t>
  </si>
  <si>
    <t>3.5x in 2Q/3Q; 3.0x in 1Q/4Q</t>
  </si>
  <si>
    <t>Owned real estate</t>
  </si>
  <si>
    <t>Total Corporate Debt</t>
  </si>
  <si>
    <t>Plus: 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</si>
</sst>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_);\(#,##0.0\)"/>
    <numFmt numFmtId="166" formatCode="#,##0_);[Red]\-#,##0_);0_);@_)"/>
    <numFmt numFmtId="167" formatCode="0_);\(0\)"/>
    <numFmt numFmtId="168" formatCode="_(* #,##0_);_(* \(#,##0\);_(* &quot;-&quot;??_);_(@_)"/>
    <numFmt numFmtId="169" formatCode="0.000%"/>
    <numFmt numFmtId="170" formatCode="0&quot;E&quot;"/>
    <numFmt numFmtId="171" formatCode="_(* #,##0.0_);_(* \(#,##0.0\);_(* &quot;-&quot;??_);_(@_)"/>
    <numFmt numFmtId="172" formatCode="[$-409]mmm\-yy;@"/>
    <numFmt numFmtId="173" formatCode="_(* #,##0.000_);_(* \(#,##0.000\);_(* &quot;-&quot;??_);_(@_)"/>
    <numFmt numFmtId="174" formatCode="_(* #,##0.0000_);_(* \(#,##0.0000\);_(* &quot;-&quot;??_);_(@_)"/>
    <numFmt numFmtId="175" formatCode="#,##0.0000_);\(#,##0.0000\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Frutiger 45 Light"/>
      <family val="2"/>
    </font>
    <font>
      <sz val="10"/>
      <name val="Arial"/>
      <family val="2"/>
    </font>
    <font>
      <b/>
      <sz val="18"/>
      <color indexed="16"/>
      <name val="Arial"/>
      <family val="2"/>
    </font>
    <font>
      <sz val="10"/>
      <color indexed="16"/>
      <name val="Arial"/>
      <family val="2"/>
    </font>
    <font>
      <b/>
      <sz val="10"/>
      <color indexed="12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i/>
      <u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name val="Arial"/>
      <family val="2"/>
    </font>
    <font>
      <b/>
      <u val="singleAccounting"/>
      <sz val="1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b/>
      <sz val="7"/>
      <color rgb="FFFFFFFF"/>
      <name val="Arial"/>
      <family val="2"/>
    </font>
    <font>
      <b/>
      <sz val="8"/>
      <color rgb="FF000000"/>
      <name val="Arial"/>
      <family val="2"/>
    </font>
    <font>
      <sz val="7"/>
      <color rgb="FF444444"/>
      <name val="Arial"/>
      <family val="2"/>
    </font>
    <font>
      <sz val="8"/>
      <color rgb="FF444444"/>
      <name val="Arial"/>
      <family val="2"/>
    </font>
    <font>
      <b/>
      <sz val="6.5"/>
      <color rgb="FF333333"/>
      <name val="Arial"/>
      <family val="2"/>
    </font>
    <font>
      <b/>
      <sz val="7"/>
      <color rgb="FF000000"/>
      <name val="Arial"/>
      <family val="2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700"/>
        <bgColor rgb="FFFFD700"/>
      </patternFill>
    </fill>
    <fill>
      <patternFill patternType="solid">
        <fgColor rgb="FF1B8C1B"/>
        <bgColor rgb="FF1B8C1B"/>
      </patternFill>
    </fill>
    <fill>
      <patternFill patternType="solid">
        <fgColor rgb="FFEDEDED"/>
        <bgColor rgb="FFEDEDED"/>
      </patternFill>
    </fill>
    <fill>
      <patternFill patternType="solid">
        <fgColor theme="1" tint="0.14999847407452621"/>
        <bgColor rgb="FFFFD700"/>
      </patternFill>
    </fill>
    <fill>
      <patternFill patternType="solid">
        <fgColor theme="1" tint="0.14999847407452621"/>
        <bgColor rgb="FF40404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1C1C1C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6">
    <xf numFmtId="0" fontId="0" fillId="0" borderId="0"/>
    <xf numFmtId="0" fontId="9" fillId="0" borderId="0" applyNumberFormat="0" applyAlignment="0">
      <alignment vertical="center"/>
    </xf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Protection="0">
      <alignment horizontal="left"/>
    </xf>
    <xf numFmtId="0" fontId="4" fillId="0" borderId="0" applyProtection="0">
      <alignment horizontal="left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4" fillId="0" borderId="0" applyFont="0" applyFill="0" applyBorder="0" applyAlignment="0" applyProtection="0"/>
    <xf numFmtId="42" fontId="11" fillId="0" borderId="1" applyFill="0" applyAlignment="0" applyProtection="0"/>
    <xf numFmtId="166" fontId="10" fillId="0" borderId="0" applyNumberFormat="0" applyFill="0" applyBorder="0" applyAlignment="0" applyProtection="0">
      <alignment vertical="center"/>
    </xf>
    <xf numFmtId="0" fontId="3" fillId="0" borderId="0"/>
    <xf numFmtId="0" fontId="4" fillId="0" borderId="0"/>
    <xf numFmtId="0" fontId="6" fillId="0" borderId="0" applyNumberFormat="0" applyFill="0" applyBorder="0" applyAlignment="0" applyProtection="0">
      <alignment vertical="center"/>
    </xf>
    <xf numFmtId="0" fontId="2" fillId="0" borderId="0"/>
    <xf numFmtId="0" fontId="1" fillId="0" borderId="0"/>
  </cellStyleXfs>
  <cellXfs count="275">
    <xf numFmtId="0" fontId="0" fillId="0" borderId="0" xfId="0"/>
    <xf numFmtId="0" fontId="5" fillId="0" borderId="0" xfId="0" applyFont="1"/>
    <xf numFmtId="0" fontId="12" fillId="0" borderId="0" xfId="0" applyFont="1"/>
    <xf numFmtId="0" fontId="13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12" fillId="0" borderId="0" xfId="8" applyNumberFormat="1" applyFont="1" applyFill="1"/>
    <xf numFmtId="0" fontId="12" fillId="0" borderId="0" xfId="0" applyFont="1" applyAlignment="1">
      <alignment horizontal="center"/>
    </xf>
    <xf numFmtId="0" fontId="15" fillId="2" borderId="4" xfId="0" applyFont="1" applyFill="1" applyBorder="1"/>
    <xf numFmtId="37" fontId="12" fillId="0" borderId="0" xfId="0" applyNumberFormat="1" applyFont="1"/>
    <xf numFmtId="37" fontId="5" fillId="0" borderId="0" xfId="0" applyNumberFormat="1" applyFont="1"/>
    <xf numFmtId="167" fontId="12" fillId="0" borderId="0" xfId="0" applyNumberFormat="1" applyFont="1"/>
    <xf numFmtId="39" fontId="12" fillId="0" borderId="0" xfId="0" applyNumberFormat="1" applyFont="1"/>
    <xf numFmtId="39" fontId="12" fillId="0" borderId="0" xfId="0" applyNumberFormat="1" applyFont="1" applyAlignment="1">
      <alignment horizontal="right"/>
    </xf>
    <xf numFmtId="164" fontId="12" fillId="0" borderId="0" xfId="8" applyNumberFormat="1" applyFont="1" applyFill="1" applyAlignment="1">
      <alignment horizontal="right"/>
    </xf>
    <xf numFmtId="37" fontId="12" fillId="0" borderId="0" xfId="0" applyNumberFormat="1" applyFont="1" applyAlignment="1">
      <alignment horizontal="right"/>
    </xf>
    <xf numFmtId="37" fontId="12" fillId="0" borderId="0" xfId="0" applyNumberFormat="1" applyFont="1" applyAlignment="1">
      <alignment horizontal="left"/>
    </xf>
    <xf numFmtId="37" fontId="12" fillId="0" borderId="3" xfId="0" applyNumberFormat="1" applyFont="1" applyBorder="1"/>
    <xf numFmtId="164" fontId="12" fillId="0" borderId="0" xfId="8" applyNumberFormat="1" applyFont="1"/>
    <xf numFmtId="37" fontId="14" fillId="0" borderId="3" xfId="0" applyNumberFormat="1" applyFont="1" applyBorder="1"/>
    <xf numFmtId="37" fontId="8" fillId="0" borderId="0" xfId="0" applyNumberFormat="1" applyFont="1"/>
    <xf numFmtId="0" fontId="15" fillId="2" borderId="2" xfId="0" applyFont="1" applyFill="1" applyBorder="1"/>
    <xf numFmtId="37" fontId="12" fillId="0" borderId="0" xfId="0" applyNumberFormat="1" applyFont="1" applyAlignment="1">
      <alignment horizontal="center"/>
    </xf>
    <xf numFmtId="37" fontId="12" fillId="0" borderId="0" xfId="0" quotePrefix="1" applyNumberFormat="1" applyFont="1" applyAlignment="1">
      <alignment horizontal="center"/>
    </xf>
    <xf numFmtId="0" fontId="16" fillId="0" borderId="0" xfId="0" applyFont="1"/>
    <xf numFmtId="43" fontId="12" fillId="0" borderId="0" xfId="2" applyFont="1" applyFill="1" applyBorder="1" applyAlignment="1">
      <alignment horizontal="right"/>
    </xf>
    <xf numFmtId="43" fontId="12" fillId="0" borderId="1" xfId="2" applyFont="1" applyFill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37" fontId="8" fillId="0" borderId="0" xfId="0" applyNumberFormat="1" applyFont="1" applyAlignment="1">
      <alignment horizontal="right"/>
    </xf>
    <xf numFmtId="167" fontId="5" fillId="0" borderId="5" xfId="0" applyNumberFormat="1" applyFont="1" applyBorder="1" applyAlignment="1">
      <alignment horizontal="right"/>
    </xf>
    <xf numFmtId="2" fontId="5" fillId="0" borderId="3" xfId="0" applyNumberFormat="1" applyFont="1" applyBorder="1"/>
    <xf numFmtId="2" fontId="12" fillId="0" borderId="0" xfId="0" applyNumberFormat="1" applyFont="1"/>
    <xf numFmtId="0" fontId="13" fillId="0" borderId="0" xfId="0" applyFont="1"/>
    <xf numFmtId="39" fontId="8" fillId="0" borderId="0" xfId="0" applyNumberFormat="1" applyFont="1" applyAlignment="1">
      <alignment horizontal="right"/>
    </xf>
    <xf numFmtId="44" fontId="8" fillId="0" borderId="0" xfId="3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8" fontId="12" fillId="0" borderId="0" xfId="2" applyNumberFormat="1" applyFont="1"/>
    <xf numFmtId="168" fontId="8" fillId="0" borderId="0" xfId="2" applyNumberFormat="1" applyFont="1" applyFill="1" applyBorder="1" applyAlignment="1">
      <alignment horizontal="right"/>
    </xf>
    <xf numFmtId="168" fontId="12" fillId="0" borderId="0" xfId="2" applyNumberFormat="1" applyFont="1" applyFill="1" applyBorder="1" applyAlignment="1">
      <alignment horizontal="right"/>
    </xf>
    <xf numFmtId="168" fontId="5" fillId="0" borderId="0" xfId="2" applyNumberFormat="1" applyFont="1"/>
    <xf numFmtId="168" fontId="8" fillId="0" borderId="0" xfId="2" applyNumberFormat="1" applyFont="1"/>
    <xf numFmtId="168" fontId="12" fillId="0" borderId="0" xfId="2" applyNumberFormat="1" applyFont="1" applyAlignment="1">
      <alignment horizontal="left" indent="1"/>
    </xf>
    <xf numFmtId="168" fontId="15" fillId="2" borderId="4" xfId="2" applyNumberFormat="1" applyFont="1" applyFill="1" applyBorder="1"/>
    <xf numFmtId="168" fontId="15" fillId="2" borderId="2" xfId="2" applyNumberFormat="1" applyFont="1" applyFill="1" applyBorder="1"/>
    <xf numFmtId="167" fontId="5" fillId="3" borderId="5" xfId="0" applyNumberFormat="1" applyFont="1" applyFill="1" applyBorder="1" applyAlignment="1">
      <alignment horizontal="right"/>
    </xf>
    <xf numFmtId="2" fontId="12" fillId="3" borderId="0" xfId="0" applyNumberFormat="1" applyFont="1" applyFill="1"/>
    <xf numFmtId="168" fontId="8" fillId="3" borderId="0" xfId="2" applyNumberFormat="1" applyFont="1" applyFill="1" applyBorder="1" applyAlignment="1">
      <alignment horizontal="right"/>
    </xf>
    <xf numFmtId="168" fontId="5" fillId="3" borderId="0" xfId="2" applyNumberFormat="1" applyFont="1" applyFill="1"/>
    <xf numFmtId="168" fontId="12" fillId="3" borderId="0" xfId="2" applyNumberFormat="1" applyFont="1" applyFill="1"/>
    <xf numFmtId="168" fontId="12" fillId="3" borderId="0" xfId="2" applyNumberFormat="1" applyFont="1" applyFill="1" applyBorder="1" applyAlignment="1">
      <alignment horizontal="right"/>
    </xf>
    <xf numFmtId="168" fontId="8" fillId="3" borderId="0" xfId="2" applyNumberFormat="1" applyFont="1" applyFill="1"/>
    <xf numFmtId="164" fontId="12" fillId="3" borderId="0" xfId="8" applyNumberFormat="1" applyFont="1" applyFill="1"/>
    <xf numFmtId="0" fontId="12" fillId="3" borderId="0" xfId="0" applyFont="1" applyFill="1"/>
    <xf numFmtId="168" fontId="12" fillId="0" borderId="0" xfId="2" applyNumberFormat="1" applyFont="1" applyFill="1"/>
    <xf numFmtId="164" fontId="12" fillId="3" borderId="0" xfId="8" applyNumberFormat="1" applyFont="1" applyFill="1" applyAlignment="1">
      <alignment horizontal="right"/>
    </xf>
    <xf numFmtId="164" fontId="5" fillId="3" borderId="0" xfId="8" applyNumberFormat="1" applyFont="1" applyFill="1" applyAlignment="1">
      <alignment horizontal="right"/>
    </xf>
    <xf numFmtId="164" fontId="5" fillId="0" borderId="0" xfId="8" applyNumberFormat="1" applyFont="1" applyFill="1" applyAlignment="1">
      <alignment horizontal="right"/>
    </xf>
    <xf numFmtId="164" fontId="12" fillId="0" borderId="0" xfId="8" applyNumberFormat="1" applyFont="1" applyAlignment="1">
      <alignment horizontal="left" indent="1"/>
    </xf>
    <xf numFmtId="168" fontId="5" fillId="0" borderId="0" xfId="2" applyNumberFormat="1" applyFont="1" applyFill="1"/>
    <xf numFmtId="168" fontId="12" fillId="0" borderId="0" xfId="2" applyNumberFormat="1" applyFont="1" applyFill="1" applyAlignment="1">
      <alignment horizontal="right"/>
    </xf>
    <xf numFmtId="164" fontId="17" fillId="0" borderId="0" xfId="8" applyNumberFormat="1" applyFont="1" applyBorder="1"/>
    <xf numFmtId="164" fontId="17" fillId="3" borderId="0" xfId="8" applyNumberFormat="1" applyFont="1" applyFill="1" applyBorder="1"/>
    <xf numFmtId="168" fontId="17" fillId="0" borderId="1" xfId="2" applyNumberFormat="1" applyFont="1" applyFill="1" applyBorder="1" applyAlignment="1">
      <alignment horizontal="right"/>
    </xf>
    <xf numFmtId="168" fontId="12" fillId="0" borderId="1" xfId="2" applyNumberFormat="1" applyFont="1" applyFill="1" applyBorder="1" applyAlignment="1">
      <alignment horizontal="right"/>
    </xf>
    <xf numFmtId="39" fontId="8" fillId="0" borderId="0" xfId="0" applyNumberFormat="1" applyFont="1"/>
    <xf numFmtId="168" fontId="17" fillId="0" borderId="0" xfId="2" applyNumberFormat="1" applyFont="1" applyFill="1" applyBorder="1" applyAlignment="1">
      <alignment horizontal="right"/>
    </xf>
    <xf numFmtId="168" fontId="17" fillId="3" borderId="0" xfId="2" applyNumberFormat="1" applyFont="1" applyFill="1" applyBorder="1" applyAlignment="1">
      <alignment horizontal="right"/>
    </xf>
    <xf numFmtId="168" fontId="8" fillId="3" borderId="1" xfId="2" applyNumberFormat="1" applyFont="1" applyFill="1" applyBorder="1" applyAlignment="1">
      <alignment horizontal="right"/>
    </xf>
    <xf numFmtId="168" fontId="8" fillId="0" borderId="1" xfId="2" applyNumberFormat="1" applyFont="1" applyFill="1" applyBorder="1" applyAlignment="1">
      <alignment horizontal="right"/>
    </xf>
    <xf numFmtId="168" fontId="12" fillId="3" borderId="1" xfId="2" applyNumberFormat="1" applyFont="1" applyFill="1" applyBorder="1" applyAlignment="1">
      <alignment horizontal="right"/>
    </xf>
    <xf numFmtId="168" fontId="17" fillId="3" borderId="1" xfId="2" applyNumberFormat="1" applyFont="1" applyFill="1" applyBorder="1" applyAlignment="1">
      <alignment horizontal="right"/>
    </xf>
    <xf numFmtId="168" fontId="5" fillId="0" borderId="0" xfId="2" applyNumberFormat="1" applyFont="1" applyAlignment="1">
      <alignment horizontal="left" indent="1"/>
    </xf>
    <xf numFmtId="168" fontId="17" fillId="3" borderId="0" xfId="2" applyNumberFormat="1" applyFont="1" applyFill="1" applyAlignment="1">
      <alignment horizontal="right"/>
    </xf>
    <xf numFmtId="168" fontId="17" fillId="0" borderId="0" xfId="2" applyNumberFormat="1" applyFont="1"/>
    <xf numFmtId="168" fontId="12" fillId="0" borderId="0" xfId="2" applyNumberFormat="1" applyFont="1" applyBorder="1"/>
    <xf numFmtId="168" fontId="12" fillId="3" borderId="0" xfId="2" applyNumberFormat="1" applyFont="1" applyFill="1" applyBorder="1"/>
    <xf numFmtId="168" fontId="12" fillId="0" borderId="0" xfId="2" applyNumberFormat="1" applyFont="1" applyFill="1" applyBorder="1"/>
    <xf numFmtId="168" fontId="12" fillId="3" borderId="1" xfId="2" applyNumberFormat="1" applyFont="1" applyFill="1" applyBorder="1"/>
    <xf numFmtId="168" fontId="12" fillId="0" borderId="1" xfId="2" applyNumberFormat="1" applyFont="1" applyFill="1" applyBorder="1"/>
    <xf numFmtId="0" fontId="4" fillId="0" borderId="0" xfId="0" applyFont="1"/>
    <xf numFmtId="168" fontId="4" fillId="0" borderId="0" xfId="2" applyNumberFormat="1" applyFont="1" applyFill="1" applyBorder="1" applyAlignment="1">
      <alignment horizontal="right"/>
    </xf>
    <xf numFmtId="168" fontId="4" fillId="3" borderId="0" xfId="2" applyNumberFormat="1" applyFont="1" applyFill="1" applyBorder="1" applyAlignment="1">
      <alignment horizontal="right"/>
    </xf>
    <xf numFmtId="168" fontId="4" fillId="0" borderId="0" xfId="2" applyNumberFormat="1" applyFont="1"/>
    <xf numFmtId="44" fontId="12" fillId="0" borderId="0" xfId="0" applyNumberFormat="1" applyFont="1"/>
    <xf numFmtId="168" fontId="4" fillId="0" borderId="0" xfId="2" applyNumberFormat="1" applyFont="1" applyAlignment="1">
      <alignment horizontal="left" indent="1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7" fontId="19" fillId="3" borderId="5" xfId="0" applyNumberFormat="1" applyFont="1" applyFill="1" applyBorder="1" applyAlignment="1">
      <alignment horizontal="right"/>
    </xf>
    <xf numFmtId="0" fontId="18" fillId="0" borderId="0" xfId="0" applyFont="1" applyAlignment="1">
      <alignment horizontal="center"/>
    </xf>
    <xf numFmtId="165" fontId="5" fillId="0" borderId="0" xfId="0" applyNumberFormat="1" applyFont="1" applyAlignment="1">
      <alignment horizontal="right"/>
    </xf>
    <xf numFmtId="165" fontId="5" fillId="0" borderId="0" xfId="0" applyNumberFormat="1" applyFont="1"/>
    <xf numFmtId="14" fontId="19" fillId="0" borderId="0" xfId="0" applyNumberFormat="1" applyFont="1"/>
    <xf numFmtId="169" fontId="8" fillId="0" borderId="0" xfId="8" applyNumberFormat="1" applyFont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8" fontId="4" fillId="0" borderId="0" xfId="2" applyNumberFormat="1" applyFont="1" applyBorder="1"/>
    <xf numFmtId="39" fontId="16" fillId="0" borderId="0" xfId="0" applyNumberFormat="1" applyFont="1" applyAlignment="1">
      <alignment horizontal="center"/>
    </xf>
    <xf numFmtId="168" fontId="4" fillId="3" borderId="0" xfId="2" applyNumberFormat="1" applyFont="1" applyFill="1"/>
    <xf numFmtId="43" fontId="4" fillId="0" borderId="0" xfId="2" applyFont="1"/>
    <xf numFmtId="168" fontId="4" fillId="3" borderId="0" xfId="2" applyNumberFormat="1" applyFont="1" applyFill="1" applyAlignment="1">
      <alignment horizontal="right"/>
    </xf>
    <xf numFmtId="170" fontId="16" fillId="0" borderId="0" xfId="0" applyNumberFormat="1" applyFont="1" applyAlignment="1">
      <alignment horizontal="right"/>
    </xf>
    <xf numFmtId="170" fontId="5" fillId="0" borderId="5" xfId="0" applyNumberFormat="1" applyFont="1" applyBorder="1" applyAlignment="1">
      <alignment horizontal="right"/>
    </xf>
    <xf numFmtId="170" fontId="5" fillId="3" borderId="5" xfId="0" applyNumberFormat="1" applyFont="1" applyFill="1" applyBorder="1" applyAlignment="1">
      <alignment horizontal="right"/>
    </xf>
    <xf numFmtId="170" fontId="5" fillId="0" borderId="3" xfId="0" applyNumberFormat="1" applyFont="1" applyBorder="1" applyAlignment="1">
      <alignment horizontal="right"/>
    </xf>
    <xf numFmtId="165" fontId="12" fillId="0" borderId="0" xfId="0" applyNumberFormat="1" applyFont="1" applyAlignment="1">
      <alignment horizontal="right"/>
    </xf>
    <xf numFmtId="164" fontId="4" fillId="0" borderId="0" xfId="8" applyNumberFormat="1" applyFont="1" applyAlignment="1">
      <alignment wrapText="1"/>
    </xf>
    <xf numFmtId="164" fontId="5" fillId="0" borderId="0" xfId="8" applyNumberFormat="1" applyFont="1"/>
    <xf numFmtId="165" fontId="4" fillId="0" borderId="0" xfId="0" applyNumberFormat="1" applyFont="1" applyAlignment="1">
      <alignment horizontal="right"/>
    </xf>
    <xf numFmtId="164" fontId="4" fillId="3" borderId="0" xfId="8" applyNumberFormat="1" applyFont="1" applyFill="1" applyAlignment="1">
      <alignment horizontal="right"/>
    </xf>
    <xf numFmtId="164" fontId="4" fillId="0" borderId="0" xfId="8" applyNumberFormat="1" applyFont="1" applyFill="1" applyAlignment="1">
      <alignment horizontal="right"/>
    </xf>
    <xf numFmtId="0" fontId="4" fillId="0" borderId="0" xfId="0" applyFont="1" applyAlignment="1">
      <alignment horizontal="left" vertical="center"/>
    </xf>
    <xf numFmtId="164" fontId="5" fillId="0" borderId="0" xfId="8" applyNumberFormat="1" applyFont="1" applyFill="1"/>
    <xf numFmtId="168" fontId="5" fillId="0" borderId="0" xfId="2" applyNumberFormat="1" applyFont="1" applyFill="1" applyAlignment="1">
      <alignment horizontal="right"/>
    </xf>
    <xf numFmtId="164" fontId="19" fillId="0" borderId="0" xfId="8" applyNumberFormat="1" applyFont="1" applyFill="1" applyAlignment="1">
      <alignment horizontal="right"/>
    </xf>
    <xf numFmtId="164" fontId="19" fillId="3" borderId="0" xfId="8" applyNumberFormat="1" applyFont="1" applyFill="1" applyAlignment="1">
      <alignment horizontal="right"/>
    </xf>
    <xf numFmtId="171" fontId="5" fillId="0" borderId="0" xfId="0" applyNumberFormat="1" applyFont="1"/>
    <xf numFmtId="171" fontId="12" fillId="0" borderId="0" xfId="0" applyNumberFormat="1" applyFont="1"/>
    <xf numFmtId="37" fontId="4" fillId="0" borderId="0" xfId="0" applyNumberFormat="1" applyFont="1"/>
    <xf numFmtId="164" fontId="4" fillId="0" borderId="0" xfId="8" applyNumberFormat="1" applyFont="1" applyFill="1" applyBorder="1" applyAlignment="1">
      <alignment horizontal="right"/>
    </xf>
    <xf numFmtId="171" fontId="12" fillId="0" borderId="0" xfId="2" applyNumberFormat="1" applyFont="1"/>
    <xf numFmtId="171" fontId="4" fillId="0" borderId="0" xfId="2" applyNumberFormat="1" applyFont="1"/>
    <xf numFmtId="171" fontId="12" fillId="3" borderId="0" xfId="2" applyNumberFormat="1" applyFont="1" applyFill="1"/>
    <xf numFmtId="164" fontId="4" fillId="0" borderId="0" xfId="8" applyNumberFormat="1" applyFont="1" applyAlignment="1">
      <alignment horizontal="left" indent="1"/>
    </xf>
    <xf numFmtId="168" fontId="5" fillId="3" borderId="0" xfId="2" applyNumberFormat="1" applyFont="1" applyFill="1" applyBorder="1" applyAlignment="1">
      <alignment horizontal="right"/>
    </xf>
    <xf numFmtId="168" fontId="5" fillId="0" borderId="0" xfId="2" applyNumberFormat="1" applyFont="1" applyFill="1" applyBorder="1" applyAlignment="1">
      <alignment horizontal="right"/>
    </xf>
    <xf numFmtId="43" fontId="5" fillId="0" borderId="0" xfId="2" applyFont="1"/>
    <xf numFmtId="168" fontId="4" fillId="0" borderId="1" xfId="2" applyNumberFormat="1" applyFont="1" applyBorder="1"/>
    <xf numFmtId="168" fontId="4" fillId="3" borderId="1" xfId="2" applyNumberFormat="1" applyFont="1" applyFill="1" applyBorder="1"/>
    <xf numFmtId="172" fontId="20" fillId="0" borderId="0" xfId="0" applyNumberFormat="1" applyFont="1"/>
    <xf numFmtId="168" fontId="8" fillId="0" borderId="0" xfId="2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37" fontId="8" fillId="0" borderId="0" xfId="0" applyNumberFormat="1" applyFont="1" applyAlignment="1">
      <alignment horizontal="left"/>
    </xf>
    <xf numFmtId="9" fontId="12" fillId="0" borderId="0" xfId="8" applyFont="1" applyAlignment="1">
      <alignment horizontal="right"/>
    </xf>
    <xf numFmtId="168" fontId="22" fillId="0" borderId="0" xfId="2" applyNumberFormat="1" applyFont="1"/>
    <xf numFmtId="164" fontId="17" fillId="0" borderId="0" xfId="8" applyNumberFormat="1" applyFont="1" applyFill="1" applyAlignment="1">
      <alignment horizontal="right"/>
    </xf>
    <xf numFmtId="168" fontId="17" fillId="0" borderId="1" xfId="2" applyNumberFormat="1" applyFont="1" applyBorder="1"/>
    <xf numFmtId="168" fontId="17" fillId="3" borderId="1" xfId="2" applyNumberFormat="1" applyFont="1" applyFill="1" applyBorder="1"/>
    <xf numFmtId="164" fontId="17" fillId="3" borderId="0" xfId="8" applyNumberFormat="1" applyFont="1" applyFill="1" applyAlignment="1">
      <alignment horizontal="right"/>
    </xf>
    <xf numFmtId="168" fontId="17" fillId="3" borderId="0" xfId="2" applyNumberFormat="1" applyFont="1" applyFill="1"/>
    <xf numFmtId="10" fontId="8" fillId="0" borderId="0" xfId="8" applyNumberFormat="1" applyFont="1" applyFill="1" applyBorder="1" applyAlignment="1">
      <alignment horizontal="right"/>
    </xf>
    <xf numFmtId="10" fontId="17" fillId="0" borderId="0" xfId="8" applyNumberFormat="1" applyFont="1" applyFill="1" applyBorder="1" applyAlignment="1">
      <alignment horizontal="right"/>
    </xf>
    <xf numFmtId="10" fontId="17" fillId="3" borderId="0" xfId="8" applyNumberFormat="1" applyFont="1" applyFill="1" applyAlignment="1">
      <alignment horizontal="right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0" fontId="17" fillId="0" borderId="1" xfId="8" applyNumberFormat="1" applyFont="1" applyFill="1" applyBorder="1" applyAlignment="1">
      <alignment horizontal="right"/>
    </xf>
    <xf numFmtId="164" fontId="5" fillId="3" borderId="1" xfId="8" applyNumberFormat="1" applyFont="1" applyFill="1" applyBorder="1" applyAlignment="1">
      <alignment horizontal="right"/>
    </xf>
    <xf numFmtId="10" fontId="17" fillId="3" borderId="1" xfId="8" applyNumberFormat="1" applyFont="1" applyFill="1" applyBorder="1" applyAlignment="1">
      <alignment horizontal="right"/>
    </xf>
    <xf numFmtId="10" fontId="5" fillId="0" borderId="0" xfId="8" applyNumberFormat="1" applyFont="1" applyFill="1" applyBorder="1" applyAlignment="1">
      <alignment horizontal="right"/>
    </xf>
    <xf numFmtId="10" fontId="5" fillId="3" borderId="0" xfId="8" applyNumberFormat="1" applyFont="1" applyFill="1" applyAlignment="1">
      <alignment horizontal="right"/>
    </xf>
    <xf numFmtId="172" fontId="20" fillId="0" borderId="0" xfId="0" applyNumberFormat="1" applyFont="1" applyAlignment="1">
      <alignment horizontal="right"/>
    </xf>
    <xf numFmtId="171" fontId="4" fillId="0" borderId="0" xfId="0" applyNumberFormat="1" applyFont="1"/>
    <xf numFmtId="37" fontId="16" fillId="0" borderId="0" xfId="0" applyNumberFormat="1" applyFont="1"/>
    <xf numFmtId="168" fontId="4" fillId="0" borderId="1" xfId="2" applyNumberFormat="1" applyFont="1" applyFill="1" applyBorder="1" applyAlignment="1">
      <alignment horizontal="right"/>
    </xf>
    <xf numFmtId="164" fontId="4" fillId="0" borderId="0" xfId="8" applyNumberFormat="1" applyFont="1"/>
    <xf numFmtId="9" fontId="4" fillId="0" borderId="0" xfId="8" applyFont="1"/>
    <xf numFmtId="39" fontId="4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left"/>
    </xf>
    <xf numFmtId="165" fontId="5" fillId="0" borderId="1" xfId="0" applyNumberFormat="1" applyFont="1" applyBorder="1" applyAlignment="1">
      <alignment horizontal="right"/>
    </xf>
    <xf numFmtId="168" fontId="5" fillId="0" borderId="0" xfId="0" applyNumberFormat="1" applyFont="1"/>
    <xf numFmtId="44" fontId="8" fillId="0" borderId="0" xfId="3" applyFont="1" applyFill="1" applyBorder="1" applyAlignment="1">
      <alignment horizontal="right"/>
    </xf>
    <xf numFmtId="10" fontId="4" fillId="0" borderId="0" xfId="0" applyNumberFormat="1" applyFont="1"/>
    <xf numFmtId="165" fontId="5" fillId="0" borderId="9" xfId="0" applyNumberFormat="1" applyFont="1" applyBorder="1" applyAlignment="1">
      <alignment horizontal="right"/>
    </xf>
    <xf numFmtId="164" fontId="23" fillId="0" borderId="0" xfId="8" applyNumberFormat="1" applyFont="1" applyFill="1" applyAlignment="1">
      <alignment horizontal="right"/>
    </xf>
    <xf numFmtId="164" fontId="23" fillId="3" borderId="0" xfId="8" applyNumberFormat="1" applyFont="1" applyFill="1" applyAlignment="1">
      <alignment horizontal="right"/>
    </xf>
    <xf numFmtId="168" fontId="17" fillId="0" borderId="0" xfId="2" applyNumberFormat="1" applyFont="1" applyBorder="1"/>
    <xf numFmtId="164" fontId="17" fillId="0" borderId="0" xfId="8" applyNumberFormat="1" applyFont="1"/>
    <xf numFmtId="9" fontId="12" fillId="0" borderId="0" xfId="8" applyFont="1"/>
    <xf numFmtId="165" fontId="18" fillId="0" borderId="0" xfId="0" applyNumberFormat="1" applyFont="1" applyAlignment="1">
      <alignment horizontal="center" vertical="center"/>
    </xf>
    <xf numFmtId="168" fontId="17" fillId="0" borderId="0" xfId="2" applyNumberFormat="1" applyFont="1" applyFill="1" applyBorder="1" applyAlignment="1">
      <alignment horizontal="left"/>
    </xf>
    <xf numFmtId="9" fontId="12" fillId="3" borderId="0" xfId="8" applyFont="1" applyFill="1" applyBorder="1"/>
    <xf numFmtId="174" fontId="12" fillId="0" borderId="0" xfId="2" applyNumberFormat="1" applyFont="1"/>
    <xf numFmtId="174" fontId="5" fillId="0" borderId="0" xfId="2" applyNumberFormat="1" applyFont="1"/>
    <xf numFmtId="10" fontId="4" fillId="0" borderId="0" xfId="8" applyNumberFormat="1" applyFont="1"/>
    <xf numFmtId="9" fontId="8" fillId="0" borderId="0" xfId="8" applyFont="1" applyAlignment="1">
      <alignment horizontal="right"/>
    </xf>
    <xf numFmtId="164" fontId="4" fillId="0" borderId="0" xfId="8" applyNumberFormat="1" applyFont="1" applyAlignment="1">
      <alignment horizontal="right" wrapText="1"/>
    </xf>
    <xf numFmtId="172" fontId="20" fillId="0" borderId="0" xfId="0" applyNumberFormat="1" applyFont="1" applyAlignment="1">
      <alignment horizontal="left"/>
    </xf>
    <xf numFmtId="0" fontId="4" fillId="0" borderId="0" xfId="0" quotePrefix="1" applyFont="1"/>
    <xf numFmtId="43" fontId="20" fillId="0" borderId="0" xfId="2" applyFont="1" applyAlignment="1">
      <alignment horizontal="left"/>
    </xf>
    <xf numFmtId="169" fontId="8" fillId="0" borderId="0" xfId="8" applyNumberFormat="1" applyFont="1" applyBorder="1" applyAlignment="1">
      <alignment horizontal="right"/>
    </xf>
    <xf numFmtId="43" fontId="20" fillId="0" borderId="0" xfId="2" applyFont="1" applyBorder="1" applyAlignment="1">
      <alignment horizontal="left"/>
    </xf>
    <xf numFmtId="164" fontId="4" fillId="0" borderId="0" xfId="8" applyNumberFormat="1" applyFont="1" applyBorder="1" applyAlignment="1">
      <alignment wrapText="1"/>
    </xf>
    <xf numFmtId="37" fontId="4" fillId="0" borderId="3" xfId="0" applyNumberFormat="1" applyFont="1" applyBorder="1"/>
    <xf numFmtId="37" fontId="4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right"/>
    </xf>
    <xf numFmtId="172" fontId="20" fillId="0" borderId="33" xfId="0" applyNumberFormat="1" applyFont="1" applyBorder="1" applyAlignment="1">
      <alignment horizontal="right"/>
    </xf>
    <xf numFmtId="165" fontId="5" fillId="0" borderId="34" xfId="0" applyNumberFormat="1" applyFont="1" applyBorder="1" applyAlignment="1">
      <alignment horizontal="right"/>
    </xf>
    <xf numFmtId="14" fontId="4" fillId="0" borderId="10" xfId="0" applyNumberFormat="1" applyFont="1" applyBorder="1"/>
    <xf numFmtId="165" fontId="5" fillId="0" borderId="35" xfId="0" applyNumberFormat="1" applyFont="1" applyBorder="1" applyAlignment="1">
      <alignment horizontal="right"/>
    </xf>
    <xf numFmtId="165" fontId="8" fillId="0" borderId="35" xfId="0" applyNumberFormat="1" applyFont="1" applyBorder="1" applyAlignment="1">
      <alignment horizontal="right"/>
    </xf>
    <xf numFmtId="165" fontId="4" fillId="0" borderId="35" xfId="0" applyNumberFormat="1" applyFont="1" applyBorder="1" applyAlignment="1">
      <alignment horizontal="right"/>
    </xf>
    <xf numFmtId="165" fontId="4" fillId="0" borderId="36" xfId="0" applyNumberFormat="1" applyFont="1" applyBorder="1" applyAlignment="1">
      <alignment horizontal="right"/>
    </xf>
    <xf numFmtId="172" fontId="20" fillId="0" borderId="1" xfId="0" applyNumberFormat="1" applyFont="1" applyBorder="1" applyAlignment="1">
      <alignment horizontal="right"/>
    </xf>
    <xf numFmtId="165" fontId="5" fillId="0" borderId="36" xfId="0" applyNumberFormat="1" applyFont="1" applyBorder="1" applyAlignment="1">
      <alignment horizontal="right"/>
    </xf>
    <xf numFmtId="14" fontId="16" fillId="0" borderId="32" xfId="0" applyNumberFormat="1" applyFont="1" applyBorder="1"/>
    <xf numFmtId="14" fontId="5" fillId="0" borderId="37" xfId="0" applyNumberFormat="1" applyFont="1" applyBorder="1"/>
    <xf numFmtId="0" fontId="5" fillId="0" borderId="4" xfId="0" applyFont="1" applyBorder="1"/>
    <xf numFmtId="0" fontId="5" fillId="0" borderId="6" xfId="0" applyFont="1" applyBorder="1"/>
    <xf numFmtId="164" fontId="4" fillId="3" borderId="0" xfId="8" applyNumberFormat="1" applyFont="1" applyFill="1"/>
    <xf numFmtId="164" fontId="4" fillId="3" borderId="0" xfId="8" applyNumberFormat="1" applyFont="1" applyFill="1" applyBorder="1" applyAlignment="1">
      <alignment horizontal="right"/>
    </xf>
    <xf numFmtId="164" fontId="20" fillId="0" borderId="0" xfId="8" applyNumberFormat="1" applyFont="1" applyFill="1" applyAlignment="1">
      <alignment horizontal="right"/>
    </xf>
    <xf numFmtId="43" fontId="4" fillId="0" borderId="0" xfId="2" applyFont="1" applyFill="1" applyBorder="1" applyAlignment="1">
      <alignment horizontal="right"/>
    </xf>
    <xf numFmtId="43" fontId="4" fillId="3" borderId="0" xfId="2" applyFont="1" applyFill="1" applyBorder="1" applyAlignment="1">
      <alignment horizontal="right"/>
    </xf>
    <xf numFmtId="164" fontId="20" fillId="3" borderId="0" xfId="8" applyNumberFormat="1" applyFont="1" applyFill="1" applyAlignment="1">
      <alignment horizontal="right"/>
    </xf>
    <xf numFmtId="164" fontId="4" fillId="3" borderId="0" xfId="8" applyNumberFormat="1" applyFont="1" applyFill="1" applyAlignment="1">
      <alignment horizontal="left"/>
    </xf>
    <xf numFmtId="43" fontId="5" fillId="3" borderId="0" xfId="2" applyFont="1" applyFill="1" applyBorder="1" applyAlignment="1">
      <alignment horizontal="right"/>
    </xf>
    <xf numFmtId="9" fontId="8" fillId="0" borderId="0" xfId="8" applyFont="1"/>
    <xf numFmtId="174" fontId="5" fillId="3" borderId="0" xfId="2" applyNumberFormat="1" applyFont="1" applyFill="1"/>
    <xf numFmtId="10" fontId="17" fillId="3" borderId="0" xfId="8" applyNumberFormat="1" applyFont="1" applyFill="1" applyBorder="1" applyAlignment="1">
      <alignment horizontal="right"/>
    </xf>
    <xf numFmtId="164" fontId="17" fillId="3" borderId="0" xfId="8" applyNumberFormat="1" applyFont="1" applyFill="1"/>
    <xf numFmtId="168" fontId="17" fillId="3" borderId="0" xfId="2" applyNumberFormat="1" applyFont="1" applyFill="1" applyBorder="1"/>
    <xf numFmtId="168" fontId="17" fillId="0" borderId="0" xfId="2" applyNumberFormat="1" applyFont="1" applyFill="1"/>
    <xf numFmtId="168" fontId="4" fillId="3" borderId="1" xfId="2" applyNumberFormat="1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18" fillId="0" borderId="0" xfId="0" quotePrefix="1" applyFont="1" applyAlignment="1">
      <alignment horizontal="center" vertical="center"/>
    </xf>
    <xf numFmtId="0" fontId="21" fillId="0" borderId="0" xfId="0" applyFont="1"/>
    <xf numFmtId="175" fontId="5" fillId="0" borderId="0" xfId="0" applyNumberFormat="1" applyFont="1"/>
    <xf numFmtId="0" fontId="18" fillId="0" borderId="0" xfId="0" applyFont="1"/>
    <xf numFmtId="9" fontId="12" fillId="0" borderId="0" xfId="8" applyFont="1" applyFill="1" applyAlignment="1">
      <alignment horizontal="right"/>
    </xf>
    <xf numFmtId="168" fontId="4" fillId="0" borderId="0" xfId="2" applyNumberFormat="1" applyFont="1" applyFill="1" applyAlignment="1">
      <alignment horizontal="right"/>
    </xf>
    <xf numFmtId="171" fontId="4" fillId="0" borderId="0" xfId="2" applyNumberFormat="1" applyFont="1" applyFill="1" applyAlignment="1">
      <alignment horizontal="right"/>
    </xf>
    <xf numFmtId="173" fontId="12" fillId="0" borderId="0" xfId="2" applyNumberFormat="1" applyFont="1"/>
    <xf numFmtId="43" fontId="17" fillId="0" borderId="0" xfId="2" applyFont="1" applyFill="1" applyBorder="1" applyAlignment="1">
      <alignment horizontal="left"/>
    </xf>
    <xf numFmtId="43" fontId="12" fillId="0" borderId="0" xfId="2" applyFont="1" applyFill="1" applyAlignment="1">
      <alignment horizontal="right"/>
    </xf>
    <xf numFmtId="44" fontId="12" fillId="0" borderId="0" xfId="3" applyFont="1" applyFill="1" applyAlignment="1">
      <alignment horizontal="right"/>
    </xf>
    <xf numFmtId="44" fontId="12" fillId="3" borderId="0" xfId="3" applyFont="1" applyFill="1" applyAlignment="1">
      <alignment horizontal="right"/>
    </xf>
    <xf numFmtId="14" fontId="5" fillId="0" borderId="10" xfId="0" applyNumberFormat="1" applyFont="1" applyBorder="1"/>
    <xf numFmtId="168" fontId="17" fillId="0" borderId="0" xfId="2" applyNumberFormat="1" applyFont="1" applyFill="1" applyAlignment="1">
      <alignment horizontal="right"/>
    </xf>
    <xf numFmtId="168" fontId="4" fillId="3" borderId="0" xfId="2" applyNumberFormat="1" applyFont="1" applyFill="1" applyBorder="1"/>
    <xf numFmtId="165" fontId="12" fillId="0" borderId="0" xfId="0" applyNumberFormat="1" applyFont="1"/>
    <xf numFmtId="0" fontId="33" fillId="6" borderId="17" xfId="0" applyFont="1" applyFill="1" applyBorder="1" applyAlignment="1">
      <alignment horizontal="left" vertical="top" wrapText="1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0" xfId="0" applyFont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34" fillId="7" borderId="31" xfId="0" applyFont="1" applyFill="1" applyBorder="1" applyAlignment="1">
      <alignment horizontal="left" vertical="top" wrapText="1"/>
    </xf>
    <xf numFmtId="0" fontId="34" fillId="7" borderId="25" xfId="0" applyFont="1" applyFill="1" applyBorder="1" applyAlignment="1">
      <alignment horizontal="left" vertical="top" wrapText="1"/>
    </xf>
    <xf numFmtId="0" fontId="34" fillId="7" borderId="26" xfId="0" applyFont="1" applyFill="1" applyBorder="1" applyAlignment="1">
      <alignment horizontal="left" vertical="top" wrapText="1"/>
    </xf>
    <xf numFmtId="0" fontId="34" fillId="7" borderId="27" xfId="0" applyFont="1" applyFill="1" applyBorder="1" applyAlignment="1">
      <alignment horizontal="left" vertical="top" wrapText="1"/>
    </xf>
    <xf numFmtId="0" fontId="34" fillId="7" borderId="0" xfId="0" applyFont="1" applyFill="1" applyAlignment="1">
      <alignment horizontal="left" vertical="top" wrapText="1"/>
    </xf>
    <xf numFmtId="0" fontId="34" fillId="7" borderId="28" xfId="0" applyFont="1" applyFill="1" applyBorder="1" applyAlignment="1">
      <alignment horizontal="left" vertical="top" wrapText="1"/>
    </xf>
    <xf numFmtId="0" fontId="34" fillId="7" borderId="29" xfId="0" applyFont="1" applyFill="1" applyBorder="1" applyAlignment="1">
      <alignment horizontal="left" vertical="top" wrapText="1"/>
    </xf>
    <xf numFmtId="0" fontId="34" fillId="7" borderId="3" xfId="0" applyFont="1" applyFill="1" applyBorder="1" applyAlignment="1">
      <alignment horizontal="left" vertical="top" wrapText="1"/>
    </xf>
    <xf numFmtId="0" fontId="34" fillId="7" borderId="30" xfId="0" applyFont="1" applyFill="1" applyBorder="1" applyAlignment="1">
      <alignment horizontal="left" vertical="top" wrapText="1"/>
    </xf>
    <xf numFmtId="0" fontId="28" fillId="8" borderId="11" xfId="0" applyFont="1" applyFill="1" applyBorder="1" applyAlignment="1">
      <alignment horizontal="left" vertical="top" wrapText="1"/>
    </xf>
    <xf numFmtId="0" fontId="4" fillId="9" borderId="7" xfId="0" applyFont="1" applyFill="1" applyBorder="1"/>
    <xf numFmtId="0" fontId="4" fillId="9" borderId="12" xfId="0" applyFont="1" applyFill="1" applyBorder="1"/>
    <xf numFmtId="0" fontId="4" fillId="9" borderId="13" xfId="0" applyFont="1" applyFill="1" applyBorder="1"/>
    <xf numFmtId="0" fontId="4" fillId="9" borderId="0" xfId="0" applyFont="1" applyFill="1"/>
    <xf numFmtId="0" fontId="4" fillId="9" borderId="14" xfId="0" applyFont="1" applyFill="1" applyBorder="1"/>
    <xf numFmtId="0" fontId="4" fillId="9" borderId="15" xfId="0" applyFont="1" applyFill="1" applyBorder="1"/>
    <xf numFmtId="0" fontId="4" fillId="9" borderId="8" xfId="0" applyFont="1" applyFill="1" applyBorder="1"/>
    <xf numFmtId="0" fontId="4" fillId="9" borderId="16" xfId="0" applyFont="1" applyFill="1" applyBorder="1"/>
    <xf numFmtId="0" fontId="29" fillId="4" borderId="38" xfId="0" applyFont="1" applyFill="1" applyBorder="1" applyAlignment="1">
      <alignment horizontal="left" vertical="top" wrapText="1"/>
    </xf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8" xfId="0" applyFont="1" applyBorder="1"/>
    <xf numFmtId="0" fontId="4" fillId="0" borderId="16" xfId="0" applyFont="1" applyBorder="1"/>
    <xf numFmtId="0" fontId="33" fillId="4" borderId="11" xfId="0" applyFont="1" applyFill="1" applyBorder="1" applyAlignment="1">
      <alignment horizontal="left" vertical="top" wrapText="1"/>
    </xf>
    <xf numFmtId="0" fontId="28" fillId="5" borderId="11" xfId="0" applyFont="1" applyFill="1" applyBorder="1" applyAlignment="1">
      <alignment horizontal="left" vertical="top" wrapText="1"/>
    </xf>
    <xf numFmtId="0" fontId="28" fillId="10" borderId="11" xfId="0" applyFont="1" applyFill="1" applyBorder="1" applyAlignment="1">
      <alignment horizontal="left" vertical="top" wrapText="1"/>
    </xf>
  </cellXfs>
  <cellStyles count="16">
    <cellStyle name="Calculation" xfId="1" builtinId="22" customBuiltin="1"/>
    <cellStyle name="Comma" xfId="2" builtinId="3"/>
    <cellStyle name="Currency" xfId="3" builtinId="4"/>
    <cellStyle name="Heading 2" xfId="4" builtinId="17" customBuiltin="1"/>
    <cellStyle name="Heading 3" xfId="5" builtinId="18" customBuiltin="1"/>
    <cellStyle name="Normal" xfId="0" builtinId="0"/>
    <cellStyle name="Normal 2" xfId="11" xr:uid="{A2B65B5E-F7BE-4A14-B395-A049DABB8D08}"/>
    <cellStyle name="Normal 2 2" xfId="14" xr:uid="{E16C4257-F94A-4CE4-80FB-F92E84191880}"/>
    <cellStyle name="Normal 3" xfId="12" xr:uid="{6E6B95B8-D93A-4B7C-98A1-2FC026655083}"/>
    <cellStyle name="Normal 4" xfId="15" xr:uid="{FF348DC3-1208-4F7C-89F7-4788FD4A6994}"/>
    <cellStyle name="Note" xfId="6" builtinId="10" customBuiltin="1"/>
    <cellStyle name="Note 2" xfId="13" xr:uid="{74B2A034-DA83-4247-B0BB-BE4213F8EB01}"/>
    <cellStyle name="Output" xfId="7" builtinId="21" customBuiltin="1"/>
    <cellStyle name="Percent" xfId="8" builtinId="5"/>
    <cellStyle name="Title" xfId="9" builtinId="15" customBuiltin="1"/>
    <cellStyle name="Total" xfId="10" builtinId="25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AM259"/>
  <sheetViews>
    <sheetView tabSelected="1" view="pageBreakPreview" zoomScale="85" zoomScaleNormal="75" zoomScaleSheetLayoutView="85" workbookViewId="0">
      <selection activeCell="A4" sqref="A4"/>
    </sheetView>
  </sheetViews>
  <sheetFormatPr defaultColWidth="9.109375" defaultRowHeight="12.75" customHeight="1" outlineLevelRow="1" outlineLevelCol="1"/>
  <cols>
    <col min="1" max="1" width="1.6640625" style="2" bestFit="1" customWidth="1"/>
    <col min="2" max="2" width="25.6640625" style="2" customWidth="1"/>
    <col min="3" max="3" width="14.5546875" style="2" customWidth="1"/>
    <col min="4" max="6" width="14.5546875" style="2" customWidth="1" outlineLevel="1"/>
    <col min="7" max="17" width="14.5546875" style="2" customWidth="1"/>
    <col min="18" max="18" width="1" style="2" customWidth="1"/>
    <col min="19" max="19" width="13.6640625" style="2" bestFit="1" customWidth="1"/>
    <col min="20" max="22" width="9.109375" style="2"/>
    <col min="23" max="23" width="12" style="2" bestFit="1" customWidth="1"/>
    <col min="24" max="16384" width="9.109375" style="2"/>
  </cols>
  <sheetData>
    <row r="1" spans="1:39" ht="24" customHeight="1" thickBot="1">
      <c r="A1" s="9"/>
      <c r="B1" s="3" t="s">
        <v>36</v>
      </c>
      <c r="C1" s="19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9"/>
      <c r="S1" s="9"/>
      <c r="T1" s="9"/>
      <c r="U1" s="9"/>
      <c r="V1" s="9"/>
      <c r="W1" s="9"/>
      <c r="X1" s="9"/>
      <c r="Y1" s="9"/>
    </row>
    <row r="2" spans="1:39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22"/>
      <c r="AB2" s="22"/>
      <c r="AC2" s="22"/>
      <c r="AD2" s="22"/>
      <c r="AE2" s="22"/>
      <c r="AF2" s="22"/>
      <c r="AG2" s="22"/>
      <c r="AH2" s="22"/>
    </row>
    <row r="3" spans="1:39" ht="12.75" customHeight="1" thickBot="1">
      <c r="A3" s="9"/>
      <c r="B3" s="4" t="s">
        <v>34</v>
      </c>
      <c r="C3" s="17"/>
      <c r="D3" s="5"/>
      <c r="E3" s="5"/>
      <c r="F3" s="9"/>
      <c r="G3" s="4" t="s">
        <v>37</v>
      </c>
      <c r="H3" s="17"/>
      <c r="I3" s="5"/>
      <c r="J3" s="5"/>
      <c r="K3" s="5"/>
      <c r="L3" s="1"/>
      <c r="M3" s="4" t="s">
        <v>39</v>
      </c>
      <c r="N3" s="4"/>
      <c r="O3" s="4">
        <v>2025</v>
      </c>
      <c r="P3" s="104">
        <f>O3+1</f>
        <v>2026</v>
      </c>
      <c r="Q3" s="104">
        <f>P3+1</f>
        <v>2027</v>
      </c>
      <c r="R3" s="1"/>
      <c r="X3" s="1"/>
      <c r="Y3" s="9"/>
      <c r="Z3" s="9"/>
      <c r="AA3" s="22"/>
      <c r="AB3" s="22"/>
      <c r="AC3" s="22"/>
      <c r="AD3" s="22"/>
      <c r="AE3" s="22"/>
      <c r="AF3" s="22"/>
      <c r="AG3" s="22"/>
      <c r="AH3" s="22"/>
    </row>
    <row r="4" spans="1:39" ht="12.75" customHeight="1">
      <c r="A4" s="9"/>
      <c r="B4" s="2" t="s">
        <v>9</v>
      </c>
      <c r="C4" s="29" t="s">
        <v>102</v>
      </c>
      <c r="D4" s="29"/>
      <c r="E4" s="13"/>
      <c r="F4" s="9"/>
      <c r="G4" s="154"/>
      <c r="H4" s="9"/>
      <c r="I4" s="24" t="s">
        <v>13</v>
      </c>
      <c r="J4" s="24" t="s">
        <v>10</v>
      </c>
      <c r="K4" s="24" t="s">
        <v>11</v>
      </c>
      <c r="L4" s="9"/>
      <c r="M4" s="81" t="s">
        <v>97</v>
      </c>
      <c r="O4" s="158" t="s">
        <v>98</v>
      </c>
      <c r="P4" s="13">
        <f>$C$16/L55</f>
        <v>0</v>
      </c>
      <c r="Q4" s="13">
        <f>$C$16/M55</f>
        <v>0</v>
      </c>
      <c r="R4" s="1"/>
      <c r="X4" s="29"/>
      <c r="Y4" s="9"/>
      <c r="Z4" s="9"/>
      <c r="AA4" s="22"/>
      <c r="AB4" s="22"/>
      <c r="AC4" s="22"/>
      <c r="AD4" s="22"/>
      <c r="AE4" s="22"/>
      <c r="AF4" s="22"/>
      <c r="AG4" s="22"/>
      <c r="AH4" s="22"/>
    </row>
    <row r="5" spans="1:39" ht="12.75" customHeight="1">
      <c r="A5" s="9"/>
      <c r="B5" s="2" t="s">
        <v>5</v>
      </c>
      <c r="C5" s="133" t="s">
        <v>103</v>
      </c>
      <c r="D5" s="133"/>
      <c r="E5" s="36"/>
      <c r="F5" s="9"/>
      <c r="G5" s="81" t="s">
        <v>119</v>
      </c>
      <c r="H5" s="9"/>
      <c r="I5" s="29">
        <v>82.7</v>
      </c>
      <c r="J5" s="34">
        <v>13.61</v>
      </c>
      <c r="K5" s="25">
        <f>MAX(0,I5-((I5*J5)/$C$6))</f>
        <v>0</v>
      </c>
      <c r="L5" s="12"/>
      <c r="M5" s="81"/>
      <c r="O5" s="13"/>
      <c r="P5" s="13"/>
      <c r="Q5" s="13"/>
      <c r="R5" s="1"/>
      <c r="X5" s="29"/>
      <c r="Y5" s="9"/>
      <c r="Z5" s="9"/>
      <c r="AA5" s="22"/>
      <c r="AB5" s="22"/>
      <c r="AC5" s="22"/>
      <c r="AD5" s="22"/>
      <c r="AE5" s="22"/>
      <c r="AF5" s="22"/>
      <c r="AG5" s="22"/>
      <c r="AH5" s="22"/>
    </row>
    <row r="6" spans="1:39" ht="12.75" customHeight="1">
      <c r="A6" s="9"/>
      <c r="B6" s="2" t="s">
        <v>6</v>
      </c>
      <c r="C6" s="35">
        <v>4.75</v>
      </c>
      <c r="D6" s="162"/>
      <c r="E6" s="36"/>
      <c r="F6" s="9"/>
      <c r="G6" s="81" t="s">
        <v>131</v>
      </c>
      <c r="I6" s="29">
        <v>40.904425526776549</v>
      </c>
      <c r="J6" s="34">
        <v>6.6252000000000004</v>
      </c>
      <c r="K6" s="25">
        <f>IF($C$6&gt;J6,I6,0)</f>
        <v>0</v>
      </c>
      <c r="L6" s="12"/>
      <c r="R6" s="1"/>
      <c r="X6" s="29"/>
      <c r="Y6" s="9"/>
      <c r="Z6" s="9"/>
      <c r="AA6" s="22"/>
      <c r="AB6" s="23"/>
      <c r="AC6" s="23"/>
      <c r="AD6" s="22"/>
      <c r="AE6" s="22"/>
      <c r="AF6" s="23"/>
      <c r="AG6" s="23"/>
      <c r="AH6" s="22"/>
    </row>
    <row r="7" spans="1:39" ht="12.75" customHeight="1">
      <c r="A7" s="9"/>
      <c r="B7" s="2" t="s">
        <v>4</v>
      </c>
      <c r="C7" s="29" t="s">
        <v>49</v>
      </c>
      <c r="D7" s="29"/>
      <c r="E7" s="134"/>
      <c r="F7" s="36"/>
      <c r="G7" s="81" t="s">
        <v>132</v>
      </c>
      <c r="I7" s="29">
        <v>45.995670995670991</v>
      </c>
      <c r="J7" s="34">
        <v>9.24</v>
      </c>
      <c r="K7" s="25">
        <f>IF($C$6&gt;J7,I7,0)</f>
        <v>0</v>
      </c>
      <c r="L7" s="12"/>
      <c r="R7" s="1"/>
      <c r="X7" s="29"/>
      <c r="Y7" s="9"/>
      <c r="Z7" s="9"/>
      <c r="AA7" s="22"/>
      <c r="AB7" s="22"/>
      <c r="AC7" s="22"/>
      <c r="AD7" s="22"/>
      <c r="AE7" s="22"/>
      <c r="AF7" s="22"/>
      <c r="AG7" s="22"/>
      <c r="AH7" s="22"/>
    </row>
    <row r="8" spans="1:39" ht="12.75" customHeight="1">
      <c r="A8" s="9"/>
      <c r="B8" s="2" t="s">
        <v>31</v>
      </c>
      <c r="C8" s="36">
        <v>312.36067800000001</v>
      </c>
      <c r="D8" s="36"/>
      <c r="E8" s="36"/>
      <c r="F8" s="9"/>
      <c r="G8" s="81" t="s">
        <v>133</v>
      </c>
      <c r="H8" s="9"/>
      <c r="I8" s="29">
        <f>1.15827+5.471438+26.017278</f>
        <v>32.646985999999998</v>
      </c>
      <c r="J8" s="34">
        <f>(26.17*1.15827+4.04*5.471438+4.96*26.017278)/I8</f>
        <v>5.5583150708001048</v>
      </c>
      <c r="K8" s="26">
        <f>MAX(0,I8-((I8*J8)/$C$6))</f>
        <v>0</v>
      </c>
      <c r="L8" s="9"/>
      <c r="R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 ht="12.75" customHeight="1">
      <c r="A9" s="9"/>
      <c r="B9" s="2" t="s">
        <v>7</v>
      </c>
      <c r="C9" s="27">
        <f>K9</f>
        <v>312.36067800000001</v>
      </c>
      <c r="D9" s="105"/>
      <c r="E9" s="36"/>
      <c r="F9" s="16"/>
      <c r="G9" s="2" t="s">
        <v>14</v>
      </c>
      <c r="H9" s="9"/>
      <c r="I9" s="9"/>
      <c r="J9" s="9"/>
      <c r="K9" s="25">
        <f>K8+K5+C8+K6+K7</f>
        <v>312.36067800000001</v>
      </c>
      <c r="R9" s="9"/>
      <c r="X9" s="9"/>
      <c r="Y9" s="9"/>
      <c r="Z9" s="9"/>
      <c r="AA9" s="22"/>
      <c r="AB9" s="22"/>
      <c r="AC9" s="22"/>
      <c r="AD9" s="22"/>
      <c r="AE9" s="22"/>
      <c r="AF9" s="22"/>
      <c r="AG9" s="22"/>
      <c r="AH9" s="22"/>
      <c r="AI9" s="9"/>
      <c r="AJ9" s="9"/>
      <c r="AK9" s="9"/>
      <c r="AL9" s="9"/>
      <c r="AM9" s="9"/>
    </row>
    <row r="10" spans="1:39" ht="12.75" customHeight="1">
      <c r="A10" s="9"/>
      <c r="B10" s="1" t="s">
        <v>8</v>
      </c>
      <c r="C10" s="91">
        <f>C9*C6</f>
        <v>1483.7132205</v>
      </c>
      <c r="D10" s="91"/>
      <c r="E10" s="159"/>
      <c r="F10" s="12"/>
      <c r="M10" s="87"/>
      <c r="O10" s="97"/>
      <c r="P10" s="97"/>
      <c r="Q10" s="13"/>
      <c r="R10" s="9"/>
      <c r="X10" s="9"/>
      <c r="Y10" s="9"/>
      <c r="AI10" s="9"/>
      <c r="AJ10" s="9"/>
      <c r="AK10" s="9"/>
      <c r="AL10" s="9"/>
      <c r="AM10" s="9"/>
    </row>
    <row r="11" spans="1:39" ht="12.75" customHeight="1">
      <c r="A11" s="9"/>
      <c r="B11" s="2" t="s">
        <v>38</v>
      </c>
      <c r="C11" s="105">
        <f>E101</f>
        <v>5721</v>
      </c>
      <c r="D11" s="105"/>
      <c r="E11" s="36"/>
      <c r="F11" s="9"/>
      <c r="G11" s="24"/>
      <c r="H11" s="9"/>
      <c r="I11" s="29"/>
      <c r="J11" s="34"/>
      <c r="K11" s="25"/>
      <c r="M11" s="81"/>
      <c r="O11" s="152"/>
      <c r="P11" s="36"/>
      <c r="Q11" s="13"/>
      <c r="R11" s="9"/>
      <c r="X11" s="9"/>
      <c r="Y11" s="9"/>
      <c r="Z11" s="9"/>
      <c r="AA11" s="7"/>
      <c r="AB11" s="7"/>
      <c r="AC11" s="7"/>
      <c r="AD11" s="22"/>
      <c r="AE11" s="7"/>
      <c r="AF11" s="7"/>
      <c r="AG11" s="7"/>
      <c r="AH11" s="22"/>
      <c r="AI11" s="9"/>
      <c r="AJ11" s="9"/>
      <c r="AK11" s="9"/>
      <c r="AL11" s="9"/>
      <c r="AM11" s="9"/>
    </row>
    <row r="12" spans="1:39" ht="12.75" customHeight="1" thickBot="1">
      <c r="A12" s="9"/>
      <c r="B12" s="81" t="s">
        <v>368</v>
      </c>
      <c r="C12" s="36">
        <v>300</v>
      </c>
      <c r="E12" s="36"/>
      <c r="G12" s="4" t="s">
        <v>86</v>
      </c>
      <c r="H12" s="4"/>
      <c r="I12" s="4"/>
      <c r="J12" s="4"/>
      <c r="K12" s="5"/>
      <c r="M12" s="4" t="s">
        <v>174</v>
      </c>
      <c r="N12" s="17"/>
      <c r="O12" s="5"/>
      <c r="P12" s="5"/>
      <c r="Q12" s="5"/>
      <c r="Y12" s="9"/>
      <c r="AA12" s="7"/>
      <c r="AB12" s="7"/>
      <c r="AC12" s="7"/>
      <c r="AD12" s="7"/>
      <c r="AE12" s="7"/>
      <c r="AF12" s="7"/>
      <c r="AG12" s="7"/>
      <c r="AH12" s="7"/>
      <c r="AI12" s="9"/>
      <c r="AJ12" s="9"/>
      <c r="AK12" s="9"/>
      <c r="AL12" s="9"/>
      <c r="AM12" s="9"/>
    </row>
    <row r="13" spans="1:39" ht="12.75" customHeight="1">
      <c r="A13" s="9"/>
      <c r="B13" s="81" t="s">
        <v>130</v>
      </c>
      <c r="C13" s="95">
        <f>SUM(E103:E103)</f>
        <v>-565</v>
      </c>
      <c r="D13" s="36"/>
      <c r="E13" s="36"/>
      <c r="G13" s="118" t="s">
        <v>159</v>
      </c>
      <c r="H13" s="81"/>
      <c r="I13" s="154"/>
      <c r="J13" s="154"/>
      <c r="K13" s="90"/>
      <c r="M13" s="81" t="s">
        <v>171</v>
      </c>
      <c r="P13" s="15"/>
      <c r="Q13" s="1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12.75" customHeight="1">
      <c r="A14" s="9"/>
      <c r="B14" s="10" t="s">
        <v>83</v>
      </c>
      <c r="C14" s="91">
        <f>SUM(C10:C13)</f>
        <v>6939.7132204999998</v>
      </c>
      <c r="D14" s="91"/>
      <c r="E14" s="176"/>
      <c r="F14" s="9"/>
      <c r="G14" s="118" t="s">
        <v>160</v>
      </c>
      <c r="I14" s="130"/>
      <c r="J14" s="157"/>
      <c r="K14" s="36"/>
      <c r="M14" s="81" t="s">
        <v>170</v>
      </c>
      <c r="P14" s="15"/>
      <c r="Q14" s="13"/>
      <c r="Y14" s="9"/>
      <c r="Z14" s="9"/>
      <c r="AA14" s="22"/>
      <c r="AB14" s="22"/>
      <c r="AC14" s="22"/>
      <c r="AD14" s="22"/>
      <c r="AE14" s="22"/>
      <c r="AF14" s="22"/>
      <c r="AG14" s="22"/>
      <c r="AH14" s="22"/>
      <c r="AI14" s="9"/>
      <c r="AJ14" s="9"/>
      <c r="AK14" s="9"/>
      <c r="AL14" s="9"/>
      <c r="AM14" s="9"/>
    </row>
    <row r="15" spans="1:39" ht="12.75" customHeight="1">
      <c r="A15" s="9"/>
      <c r="B15" s="81"/>
      <c r="C15" s="236"/>
      <c r="D15" s="15"/>
      <c r="E15" s="15"/>
      <c r="F15" s="9"/>
      <c r="G15" s="118" t="s">
        <v>177</v>
      </c>
      <c r="I15" s="130"/>
      <c r="J15" s="157"/>
      <c r="K15" s="36"/>
      <c r="M15" s="118" t="s">
        <v>175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ht="12.75" customHeight="1">
      <c r="A16" s="9"/>
      <c r="B16" s="1"/>
      <c r="C16" s="92"/>
      <c r="F16" s="9"/>
      <c r="G16" s="118" t="s">
        <v>169</v>
      </c>
      <c r="I16" s="130"/>
      <c r="J16" s="157"/>
      <c r="K16" s="36"/>
      <c r="L16" s="131"/>
      <c r="M16" s="118" t="s">
        <v>176</v>
      </c>
      <c r="Y16" s="9"/>
      <c r="Z16" s="9"/>
      <c r="AA16" s="22"/>
      <c r="AB16" s="22"/>
      <c r="AC16" s="22"/>
      <c r="AD16" s="22"/>
      <c r="AE16" s="22"/>
      <c r="AF16" s="22"/>
      <c r="AG16" s="22"/>
      <c r="AH16" s="22"/>
      <c r="AI16" s="9"/>
      <c r="AJ16" s="9"/>
      <c r="AK16" s="9"/>
      <c r="AL16" s="9"/>
      <c r="AM16" s="9"/>
    </row>
    <row r="17" spans="1:39" ht="12.75" customHeight="1">
      <c r="A17" s="9"/>
      <c r="F17" s="9"/>
      <c r="G17" s="118" t="s">
        <v>366</v>
      </c>
      <c r="J17" s="157"/>
      <c r="K17" s="36"/>
      <c r="L17" s="9"/>
      <c r="M17" s="81" t="s">
        <v>172</v>
      </c>
      <c r="Y17" s="9"/>
      <c r="Z17" s="9"/>
      <c r="AA17" s="22"/>
      <c r="AB17" s="22"/>
      <c r="AC17" s="22"/>
      <c r="AD17" s="22"/>
      <c r="AE17" s="22"/>
      <c r="AF17" s="22"/>
      <c r="AG17" s="22"/>
      <c r="AH17" s="22"/>
      <c r="AI17" s="9"/>
      <c r="AJ17" s="9"/>
      <c r="AK17" s="9"/>
      <c r="AL17" s="9"/>
      <c r="AM17" s="9"/>
    </row>
    <row r="18" spans="1:39" ht="12.75" customHeight="1">
      <c r="A18" s="9"/>
      <c r="F18" s="9"/>
      <c r="J18" s="157"/>
      <c r="L18" s="9"/>
      <c r="M18" s="81" t="s">
        <v>173</v>
      </c>
      <c r="Y18" s="9"/>
      <c r="Z18" s="9"/>
      <c r="AA18" s="22"/>
      <c r="AB18" s="22"/>
      <c r="AC18" s="22"/>
      <c r="AD18" s="22"/>
      <c r="AE18" s="22"/>
      <c r="AF18" s="22"/>
      <c r="AG18" s="22"/>
      <c r="AH18" s="22"/>
      <c r="AI18" s="9"/>
      <c r="AJ18" s="9"/>
      <c r="AK18" s="9"/>
      <c r="AL18" s="9"/>
      <c r="AM18" s="9"/>
    </row>
    <row r="19" spans="1:39" ht="12.75" customHeight="1" thickBot="1">
      <c r="A19" s="9"/>
      <c r="B19" s="4" t="s">
        <v>71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Y19" s="9"/>
      <c r="Z19" s="9"/>
      <c r="AA19" s="22"/>
      <c r="AB19" s="22"/>
      <c r="AC19" s="22"/>
      <c r="AD19" s="22"/>
      <c r="AE19" s="22"/>
      <c r="AF19" s="22"/>
      <c r="AG19" s="22"/>
      <c r="AH19" s="22"/>
      <c r="AI19" s="9"/>
      <c r="AJ19" s="9"/>
      <c r="AK19" s="9"/>
      <c r="AL19" s="9"/>
      <c r="AM19" s="9"/>
    </row>
    <row r="20" spans="1:39" ht="12.75" customHeight="1">
      <c r="A20" s="9"/>
      <c r="B20" s="118" t="s">
        <v>144</v>
      </c>
      <c r="D20" s="97"/>
      <c r="E20" s="97"/>
      <c r="F20" s="97"/>
      <c r="G20" s="9"/>
      <c r="H20" s="9"/>
      <c r="I20" s="9"/>
      <c r="J20" s="9"/>
      <c r="K20" s="9"/>
      <c r="L20" s="9"/>
      <c r="M20" s="9"/>
      <c r="Y20" s="9"/>
      <c r="Z20" s="9"/>
      <c r="AA20" s="22"/>
      <c r="AB20" s="22"/>
      <c r="AC20" s="22"/>
      <c r="AD20" s="22"/>
      <c r="AE20" s="22"/>
      <c r="AF20" s="22"/>
      <c r="AG20" s="22"/>
      <c r="AH20" s="22"/>
      <c r="AI20" s="9"/>
      <c r="AJ20" s="9"/>
      <c r="AK20" s="9"/>
      <c r="AL20" s="9"/>
      <c r="AM20" s="9"/>
    </row>
    <row r="21" spans="1:39" ht="12.75" customHeight="1">
      <c r="A21" s="9"/>
      <c r="B21" s="118" t="s">
        <v>145</v>
      </c>
      <c r="C21" s="1"/>
      <c r="D21" s="1"/>
      <c r="E21" s="1"/>
      <c r="F21" s="1"/>
      <c r="G21" s="9"/>
      <c r="H21" s="9"/>
      <c r="I21" s="9"/>
      <c r="J21" s="9"/>
      <c r="K21" s="9"/>
      <c r="L21" s="9"/>
      <c r="M21" s="9"/>
      <c r="Y21" s="9"/>
      <c r="Z21" s="9"/>
      <c r="AA21" s="22"/>
      <c r="AB21" s="22"/>
      <c r="AC21" s="22"/>
      <c r="AD21" s="22"/>
      <c r="AE21" s="22"/>
      <c r="AF21" s="22"/>
      <c r="AG21" s="22"/>
      <c r="AH21" s="22"/>
      <c r="AI21" s="9"/>
      <c r="AJ21" s="9"/>
      <c r="AK21" s="9"/>
      <c r="AL21" s="9"/>
      <c r="AM21" s="9"/>
    </row>
    <row r="22" spans="1:39" ht="12.75" customHeight="1">
      <c r="A22" s="9"/>
      <c r="B22" s="118" t="s">
        <v>135</v>
      </c>
      <c r="C22" s="1"/>
      <c r="D22" s="1"/>
      <c r="E22" s="1"/>
      <c r="F22" s="1"/>
      <c r="G22" s="9"/>
      <c r="H22" s="9"/>
      <c r="I22" s="9"/>
      <c r="J22" s="9"/>
      <c r="K22" s="9"/>
      <c r="L22" s="9"/>
      <c r="M22" s="9"/>
      <c r="Y22" s="9"/>
      <c r="Z22" s="9"/>
      <c r="AA22" s="22"/>
      <c r="AB22" s="22"/>
      <c r="AC22" s="22"/>
      <c r="AD22" s="22"/>
      <c r="AE22" s="22"/>
      <c r="AF22" s="22"/>
      <c r="AG22" s="22"/>
      <c r="AH22" s="22"/>
      <c r="AI22" s="9"/>
      <c r="AJ22" s="9"/>
      <c r="AK22" s="9"/>
      <c r="AL22" s="9"/>
      <c r="AM22" s="9"/>
    </row>
    <row r="23" spans="1:39" ht="12.75" customHeight="1">
      <c r="A23" s="9"/>
      <c r="B23" s="118" t="s">
        <v>146</v>
      </c>
      <c r="C23" s="1"/>
      <c r="D23" s="1"/>
      <c r="E23" s="1"/>
      <c r="F23" s="1"/>
      <c r="G23" s="9"/>
      <c r="H23" s="9"/>
      <c r="I23" s="9"/>
      <c r="J23" s="9"/>
      <c r="K23" s="9"/>
      <c r="L23" s="9"/>
      <c r="M23" s="9"/>
      <c r="Y23" s="9"/>
      <c r="Z23" s="9"/>
      <c r="AA23" s="22"/>
      <c r="AB23" s="22"/>
      <c r="AC23" s="22"/>
      <c r="AD23" s="22"/>
      <c r="AE23" s="22"/>
      <c r="AF23" s="22"/>
      <c r="AG23" s="22"/>
      <c r="AH23" s="22"/>
      <c r="AI23" s="9"/>
      <c r="AJ23" s="9"/>
      <c r="AK23" s="9"/>
      <c r="AL23" s="9"/>
      <c r="AM23" s="9"/>
    </row>
    <row r="24" spans="1:39" ht="12.75" customHeight="1">
      <c r="A24" s="9"/>
      <c r="B24" s="118" t="s">
        <v>136</v>
      </c>
      <c r="C24" s="1"/>
      <c r="D24" s="1"/>
      <c r="E24" s="1"/>
      <c r="F24" s="1"/>
      <c r="G24" s="9"/>
      <c r="H24" s="9"/>
      <c r="I24" s="9"/>
      <c r="J24" s="9"/>
      <c r="K24" s="9"/>
      <c r="L24" s="9"/>
      <c r="M24" s="9"/>
      <c r="Y24" s="9"/>
      <c r="Z24" s="9"/>
      <c r="AA24" s="22"/>
      <c r="AB24" s="22"/>
      <c r="AC24" s="22"/>
      <c r="AD24" s="22"/>
      <c r="AE24" s="22"/>
      <c r="AF24" s="22"/>
      <c r="AG24" s="22"/>
      <c r="AH24" s="22"/>
      <c r="AI24" s="9"/>
      <c r="AJ24" s="9"/>
      <c r="AK24" s="9"/>
      <c r="AL24" s="9"/>
      <c r="AM24" s="9"/>
    </row>
    <row r="25" spans="1:39" ht="12.75" customHeight="1">
      <c r="A25" s="9"/>
      <c r="B25" s="118" t="s">
        <v>147</v>
      </c>
      <c r="C25" s="1"/>
      <c r="D25" s="1"/>
      <c r="E25" s="1"/>
      <c r="F25" s="1"/>
      <c r="G25" s="9"/>
      <c r="H25" s="9"/>
      <c r="I25" s="9"/>
      <c r="J25" s="9"/>
      <c r="K25" s="9"/>
      <c r="L25" s="9"/>
      <c r="M25" s="9"/>
      <c r="Y25" s="9"/>
      <c r="Z25" s="9"/>
      <c r="AA25" s="22"/>
      <c r="AB25" s="22"/>
      <c r="AC25" s="22"/>
      <c r="AD25" s="22"/>
      <c r="AE25" s="22"/>
      <c r="AF25" s="22"/>
      <c r="AG25" s="22"/>
      <c r="AH25" s="22"/>
      <c r="AI25" s="9"/>
      <c r="AJ25" s="9"/>
      <c r="AK25" s="9"/>
      <c r="AL25" s="9"/>
      <c r="AM25" s="9"/>
    </row>
    <row r="26" spans="1:39" ht="12.75" customHeight="1">
      <c r="A26" s="9"/>
      <c r="B26" s="118" t="s">
        <v>137</v>
      </c>
      <c r="C26" s="1"/>
      <c r="D26" s="1"/>
      <c r="E26" s="1"/>
      <c r="F26" s="1"/>
      <c r="G26" s="9"/>
      <c r="H26" s="9"/>
      <c r="I26" s="9"/>
      <c r="J26" s="9"/>
      <c r="K26" s="9"/>
      <c r="L26" s="9"/>
      <c r="M26" s="9"/>
      <c r="Y26" s="9"/>
      <c r="Z26" s="9"/>
      <c r="AA26" s="22"/>
      <c r="AB26" s="22"/>
      <c r="AC26" s="22"/>
      <c r="AD26" s="22"/>
      <c r="AE26" s="22"/>
      <c r="AF26" s="22"/>
      <c r="AG26" s="22"/>
      <c r="AH26" s="22"/>
      <c r="AI26" s="9"/>
      <c r="AJ26" s="9"/>
      <c r="AK26" s="9"/>
      <c r="AL26" s="9"/>
      <c r="AM26" s="9"/>
    </row>
    <row r="27" spans="1:39" ht="12.75" customHeight="1">
      <c r="A27" s="9"/>
      <c r="B27" s="118" t="s">
        <v>138</v>
      </c>
      <c r="C27" s="1"/>
      <c r="D27" s="1"/>
      <c r="E27" s="1"/>
      <c r="F27" s="1"/>
      <c r="G27" s="9"/>
      <c r="H27" s="9"/>
      <c r="I27" s="9"/>
      <c r="J27" s="9"/>
      <c r="K27" s="9"/>
      <c r="L27" s="9"/>
      <c r="M27" s="9"/>
      <c r="Y27" s="9"/>
      <c r="Z27" s="9"/>
      <c r="AA27" s="22"/>
      <c r="AB27" s="22"/>
      <c r="AC27" s="22"/>
      <c r="AD27" s="22"/>
      <c r="AE27" s="22"/>
      <c r="AF27" s="22"/>
      <c r="AG27" s="22"/>
      <c r="AH27" s="22"/>
      <c r="AI27" s="9"/>
      <c r="AJ27" s="9"/>
      <c r="AK27" s="9"/>
      <c r="AL27" s="9"/>
      <c r="AM27" s="9"/>
    </row>
    <row r="28" spans="1:39" ht="12.75" customHeight="1">
      <c r="A28" s="9"/>
      <c r="B28" s="81" t="s">
        <v>148</v>
      </c>
      <c r="C28" s="1"/>
      <c r="D28" s="1"/>
      <c r="E28" s="1"/>
      <c r="F28" s="1"/>
      <c r="I28" s="9"/>
      <c r="J28" s="9"/>
      <c r="K28" s="9"/>
      <c r="L28" s="9"/>
      <c r="M28" s="9"/>
      <c r="Y28" s="9"/>
      <c r="Z28" s="9"/>
      <c r="AA28" s="22"/>
      <c r="AB28" s="22"/>
      <c r="AC28" s="22"/>
      <c r="AD28" s="22"/>
      <c r="AE28" s="22"/>
      <c r="AF28" s="22"/>
      <c r="AG28" s="22"/>
      <c r="AH28" s="22"/>
      <c r="AI28" s="9"/>
      <c r="AJ28" s="9"/>
      <c r="AK28" s="9"/>
      <c r="AL28" s="9"/>
      <c r="AM28" s="9"/>
    </row>
    <row r="29" spans="1:39" ht="12.75" customHeight="1">
      <c r="A29" s="9"/>
      <c r="B29" s="81" t="s">
        <v>139</v>
      </c>
      <c r="C29" s="1"/>
      <c r="D29" s="1"/>
      <c r="E29" s="1"/>
      <c r="F29" s="1"/>
      <c r="G29" s="9"/>
      <c r="H29" s="9"/>
      <c r="I29" s="9"/>
      <c r="J29" s="9"/>
      <c r="K29" s="9"/>
      <c r="L29" s="9"/>
      <c r="M29" s="9"/>
      <c r="Y29" s="9"/>
      <c r="Z29" s="9"/>
      <c r="AA29" s="22"/>
      <c r="AB29" s="22"/>
      <c r="AC29" s="22"/>
      <c r="AD29" s="22"/>
      <c r="AE29" s="22"/>
      <c r="AF29" s="22"/>
      <c r="AG29" s="22"/>
      <c r="AH29" s="22"/>
      <c r="AI29" s="9"/>
      <c r="AJ29" s="9"/>
      <c r="AK29" s="9"/>
      <c r="AL29" s="9"/>
      <c r="AM29" s="9"/>
    </row>
    <row r="30" spans="1:39" ht="12.75" customHeight="1">
      <c r="A30" s="9"/>
      <c r="B30" s="81" t="s">
        <v>140</v>
      </c>
      <c r="C30" s="1"/>
      <c r="D30" s="1"/>
      <c r="E30" s="1"/>
      <c r="F30" s="1"/>
      <c r="G30" s="9"/>
      <c r="H30" s="9"/>
      <c r="I30" s="9"/>
      <c r="J30" s="9"/>
      <c r="K30" s="9"/>
      <c r="L30" s="9"/>
      <c r="M30" s="9"/>
      <c r="R30" s="9"/>
      <c r="X30" s="9"/>
      <c r="Y30" s="9"/>
      <c r="Z30" s="9"/>
      <c r="AA30" s="22"/>
      <c r="AB30" s="22"/>
      <c r="AC30" s="22"/>
      <c r="AD30" s="22"/>
      <c r="AE30" s="22"/>
      <c r="AF30" s="22"/>
      <c r="AG30" s="22"/>
      <c r="AH30" s="22"/>
      <c r="AI30" s="9"/>
      <c r="AJ30" s="9"/>
      <c r="AK30" s="9"/>
      <c r="AL30" s="9"/>
      <c r="AM30" s="9"/>
    </row>
    <row r="31" spans="1:39" ht="12.75" customHeight="1">
      <c r="A31" s="9"/>
      <c r="B31" s="81" t="s">
        <v>141</v>
      </c>
      <c r="C31" s="1"/>
      <c r="D31" s="1"/>
      <c r="E31" s="107"/>
      <c r="F31" s="1"/>
      <c r="G31" s="9"/>
      <c r="H31" s="9"/>
      <c r="I31" s="9"/>
      <c r="J31" s="9"/>
      <c r="K31" s="9"/>
      <c r="L31" s="9"/>
      <c r="M31" s="9"/>
      <c r="R31" s="9"/>
      <c r="X31" s="9"/>
      <c r="Y31" s="9"/>
      <c r="Z31" s="9"/>
      <c r="AA31" s="22"/>
      <c r="AB31" s="22"/>
      <c r="AC31" s="22"/>
      <c r="AD31" s="22"/>
      <c r="AE31" s="22"/>
      <c r="AF31" s="22"/>
      <c r="AG31" s="22"/>
      <c r="AH31" s="22"/>
      <c r="AI31" s="9"/>
      <c r="AJ31" s="9"/>
      <c r="AK31" s="9"/>
      <c r="AL31" s="9"/>
      <c r="AM31" s="9"/>
    </row>
    <row r="32" spans="1:39" ht="12.75" customHeight="1">
      <c r="A32" s="9"/>
      <c r="B32" s="81" t="s">
        <v>142</v>
      </c>
      <c r="C32" s="1"/>
      <c r="D32" s="1"/>
      <c r="E32" s="107"/>
      <c r="F32" s="1"/>
      <c r="G32" s="9"/>
      <c r="H32" s="9"/>
      <c r="I32" s="9"/>
      <c r="J32" s="9"/>
      <c r="K32" s="9"/>
      <c r="L32" s="9"/>
      <c r="M32" s="9"/>
      <c r="R32" s="9"/>
      <c r="X32" s="9"/>
      <c r="Y32" s="9"/>
      <c r="Z32" s="9"/>
      <c r="AA32" s="22"/>
      <c r="AB32" s="22"/>
      <c r="AC32" s="22"/>
      <c r="AD32" s="22"/>
      <c r="AE32" s="22"/>
      <c r="AF32" s="22"/>
      <c r="AG32" s="22"/>
      <c r="AH32" s="22"/>
      <c r="AI32" s="9"/>
      <c r="AJ32" s="9"/>
      <c r="AK32" s="9"/>
      <c r="AL32" s="9"/>
      <c r="AM32" s="9"/>
    </row>
    <row r="33" spans="1:39" ht="12.75" customHeight="1">
      <c r="A33" s="9"/>
      <c r="B33" s="81" t="s">
        <v>143</v>
      </c>
      <c r="C33" s="1"/>
      <c r="D33" s="1"/>
      <c r="E33" s="1"/>
      <c r="F33" s="1"/>
      <c r="G33" s="9"/>
      <c r="H33" s="9"/>
      <c r="I33" s="9"/>
      <c r="J33" s="9"/>
      <c r="K33" s="9"/>
      <c r="L33" s="9"/>
      <c r="M33" s="9"/>
      <c r="R33" s="9"/>
      <c r="X33" s="9"/>
      <c r="Y33" s="9"/>
      <c r="Z33" s="9"/>
      <c r="AA33" s="22"/>
      <c r="AB33" s="22"/>
      <c r="AC33" s="22"/>
      <c r="AD33" s="22"/>
      <c r="AE33" s="22"/>
      <c r="AF33" s="22"/>
      <c r="AG33" s="22"/>
      <c r="AH33" s="22"/>
      <c r="AI33" s="9"/>
      <c r="AJ33" s="9"/>
      <c r="AK33" s="9"/>
      <c r="AL33" s="9"/>
      <c r="AM33" s="9"/>
    </row>
    <row r="34" spans="1:39" ht="12.75" customHeight="1">
      <c r="A34" s="9"/>
      <c r="B34" s="81" t="s">
        <v>149</v>
      </c>
      <c r="C34" s="132"/>
      <c r="D34" s="132"/>
      <c r="E34" s="132"/>
      <c r="F34" s="132"/>
      <c r="G34" s="9"/>
      <c r="H34" s="9"/>
      <c r="I34" s="9"/>
      <c r="J34" s="9"/>
      <c r="K34" s="9"/>
      <c r="L34" s="9"/>
      <c r="M34" s="9"/>
      <c r="R34" s="9"/>
      <c r="X34" s="9"/>
      <c r="Y34" s="9"/>
      <c r="Z34" s="9"/>
      <c r="AA34" s="22"/>
      <c r="AB34" s="22"/>
      <c r="AC34" s="22"/>
      <c r="AD34" s="22"/>
      <c r="AE34" s="22"/>
      <c r="AF34" s="22"/>
      <c r="AG34" s="22"/>
      <c r="AH34" s="22"/>
      <c r="AI34" s="9"/>
      <c r="AJ34" s="9"/>
      <c r="AK34" s="9"/>
      <c r="AL34" s="9"/>
      <c r="AM34" s="9"/>
    </row>
    <row r="35" spans="1:39" ht="12.75" customHeight="1">
      <c r="A35" s="9"/>
      <c r="G35" s="9"/>
      <c r="H35" s="9"/>
      <c r="I35" s="9"/>
      <c r="J35" s="9"/>
      <c r="K35" s="9"/>
      <c r="L35" s="9"/>
      <c r="M35" s="9"/>
      <c r="R35" s="9"/>
      <c r="X35" s="9"/>
      <c r="Y35" s="9"/>
      <c r="Z35" s="9"/>
      <c r="AA35" s="22"/>
      <c r="AB35" s="22"/>
      <c r="AC35" s="22"/>
      <c r="AD35" s="22"/>
      <c r="AE35" s="22"/>
      <c r="AF35" s="22"/>
      <c r="AG35" s="22"/>
      <c r="AH35" s="22"/>
      <c r="AI35" s="9"/>
      <c r="AJ35" s="9"/>
      <c r="AK35" s="9"/>
      <c r="AL35" s="9"/>
      <c r="AM35" s="9"/>
    </row>
    <row r="36" spans="1:39" ht="12.75" customHeight="1" thickBot="1">
      <c r="A36" s="9"/>
      <c r="B36" s="4" t="s">
        <v>95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spans="1:39" ht="12.75" customHeight="1">
      <c r="A37" s="9"/>
      <c r="B37" s="1" t="s">
        <v>43</v>
      </c>
      <c r="C37" s="28"/>
      <c r="D37" s="28"/>
      <c r="E37" s="28">
        <v>2019</v>
      </c>
      <c r="F37" s="28">
        <v>2020</v>
      </c>
      <c r="G37" s="28">
        <v>2021</v>
      </c>
      <c r="H37" s="28">
        <f t="shared" ref="H37:Q37" si="0">G37+1</f>
        <v>2022</v>
      </c>
      <c r="I37" s="28">
        <f t="shared" si="0"/>
        <v>2023</v>
      </c>
      <c r="J37" s="28">
        <f t="shared" si="0"/>
        <v>2024</v>
      </c>
      <c r="K37" s="28">
        <f t="shared" si="0"/>
        <v>2025</v>
      </c>
      <c r="L37" s="101">
        <f t="shared" si="0"/>
        <v>2026</v>
      </c>
      <c r="M37" s="101">
        <f t="shared" si="0"/>
        <v>2027</v>
      </c>
      <c r="N37" s="101">
        <f t="shared" si="0"/>
        <v>2028</v>
      </c>
      <c r="O37" s="101">
        <f t="shared" si="0"/>
        <v>2029</v>
      </c>
      <c r="P37" s="101">
        <f t="shared" si="0"/>
        <v>2030</v>
      </c>
      <c r="Q37" s="101">
        <f t="shared" si="0"/>
        <v>2031</v>
      </c>
      <c r="R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spans="1:39" ht="12.75" customHeight="1">
      <c r="A38" s="9"/>
      <c r="B38" s="2" t="s">
        <v>40</v>
      </c>
      <c r="C38" s="61"/>
      <c r="D38" s="61"/>
      <c r="E38" s="61">
        <f>Financials!T202</f>
        <v>9779</v>
      </c>
      <c r="F38" s="61">
        <f>Financials!Y202</f>
        <v>5258</v>
      </c>
      <c r="G38" s="61">
        <f>Financials!AD202</f>
        <v>7337</v>
      </c>
      <c r="H38" s="61">
        <f>Financials!AI202</f>
        <v>8685</v>
      </c>
      <c r="I38" s="61">
        <f>Financials!AN202</f>
        <v>9371</v>
      </c>
      <c r="J38" s="61">
        <f>Financials!AS202</f>
        <v>9049</v>
      </c>
      <c r="K38" s="61">
        <f>Financials!AX202</f>
        <v>8504</v>
      </c>
      <c r="L38" s="61">
        <f>Financials!BC202</f>
        <v>8698.847839285052</v>
      </c>
      <c r="M38" s="61">
        <f>Financials!BH202</f>
        <v>8872.824796070754</v>
      </c>
      <c r="N38" s="61">
        <f>Financials!BI202</f>
        <v>9072.5570713088746</v>
      </c>
      <c r="O38" s="61">
        <f>Financials!BJ202</f>
        <v>9228.7240372904198</v>
      </c>
      <c r="P38" s="61">
        <f>Financials!BK202</f>
        <v>9413.2985180362302</v>
      </c>
      <c r="Q38" s="61">
        <f>Financials!BL202</f>
        <v>9601.5644883969562</v>
      </c>
      <c r="R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spans="1:39" ht="12.75" customHeight="1">
      <c r="A39" s="9"/>
      <c r="B39" s="2" t="s">
        <v>41</v>
      </c>
      <c r="D39" s="6"/>
      <c r="E39" s="6"/>
      <c r="F39" s="6">
        <f t="shared" ref="F39:Q39" si="1">F38/E38-1</f>
        <v>-0.46231721034870643</v>
      </c>
      <c r="G39" s="6">
        <f t="shared" si="1"/>
        <v>0.39539748953974896</v>
      </c>
      <c r="H39" s="6">
        <f t="shared" si="1"/>
        <v>0.18372631865885247</v>
      </c>
      <c r="I39" s="6">
        <f t="shared" si="1"/>
        <v>7.8986758779504784E-2</v>
      </c>
      <c r="J39" s="6">
        <f t="shared" si="1"/>
        <v>-3.4361327499733196E-2</v>
      </c>
      <c r="K39" s="6">
        <f t="shared" si="1"/>
        <v>-6.0227649464029143E-2</v>
      </c>
      <c r="L39" s="6">
        <f t="shared" si="1"/>
        <v>2.2912492860424738E-2</v>
      </c>
      <c r="M39" s="6">
        <f t="shared" si="1"/>
        <v>2.0000000000000018E-2</v>
      </c>
      <c r="N39" s="6">
        <f t="shared" si="1"/>
        <v>2.2510562287510805E-2</v>
      </c>
      <c r="O39" s="6">
        <f t="shared" si="1"/>
        <v>1.7213114754098147E-2</v>
      </c>
      <c r="P39" s="6">
        <f t="shared" si="1"/>
        <v>2.000000000000024E-2</v>
      </c>
      <c r="Q39" s="6">
        <f t="shared" si="1"/>
        <v>2.000000000000024E-2</v>
      </c>
      <c r="R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spans="1:39" ht="12.75" customHeight="1">
      <c r="A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spans="1:39" ht="12.75" customHeight="1">
      <c r="A41" s="9"/>
      <c r="B41" s="224" t="s">
        <v>248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spans="1:39" ht="12.75" customHeight="1">
      <c r="A42" s="9"/>
      <c r="B42" s="81" t="s">
        <v>305</v>
      </c>
      <c r="D42" s="6"/>
      <c r="E42" s="61">
        <f>Financials!T88</f>
        <v>534879</v>
      </c>
      <c r="F42" s="61">
        <f>Financials!Y88</f>
        <v>423992.25</v>
      </c>
      <c r="G42" s="61">
        <f>Financials!AD88</f>
        <v>345330.5</v>
      </c>
      <c r="H42" s="61">
        <f>Financials!AI88</f>
        <v>385238</v>
      </c>
      <c r="I42" s="61">
        <f>Financials!AN88</f>
        <v>422485.25</v>
      </c>
      <c r="J42" s="61">
        <f>Financials!AS88</f>
        <v>426410.5</v>
      </c>
      <c r="K42" s="61">
        <f>Financials!AX88</f>
        <v>400355.25</v>
      </c>
      <c r="L42" s="61">
        <f>Financials!BC88</f>
        <v>406377.12249999994</v>
      </c>
      <c r="M42" s="61">
        <f>Financials!BH88</f>
        <v>414504.66495000001</v>
      </c>
      <c r="N42" s="61">
        <f>Financials!BI88</f>
        <v>422794.75824900001</v>
      </c>
      <c r="O42" s="61">
        <f>Financials!BJ88</f>
        <v>431250.65341398004</v>
      </c>
      <c r="P42" s="61">
        <f>Financials!BK88</f>
        <v>439875.66648225964</v>
      </c>
      <c r="Q42" s="61">
        <f>Financials!BL88</f>
        <v>448673.17981190485</v>
      </c>
      <c r="R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spans="1:39" ht="12.75" customHeight="1">
      <c r="A43" s="9"/>
      <c r="B43" s="81" t="s">
        <v>359</v>
      </c>
      <c r="D43" s="6"/>
      <c r="E43" s="225">
        <f>Financials!T106</f>
        <v>2.6741460051855848E-2</v>
      </c>
      <c r="F43" s="225">
        <f>Financials!Y106</f>
        <v>-6.6116385578731673E-3</v>
      </c>
      <c r="G43" s="225">
        <f>Financials!AD106</f>
        <v>0.40404419372636102</v>
      </c>
      <c r="H43" s="225">
        <f>Financials!AI106</f>
        <v>4.7442414776061259E-2</v>
      </c>
      <c r="I43" s="225">
        <f>Financials!AN106</f>
        <v>-5.2078722890519402E-2</v>
      </c>
      <c r="J43" s="225">
        <f>Financials!AS106</f>
        <v>-4.0224576226357445E-2</v>
      </c>
      <c r="K43" s="225">
        <f>Financials!AX106</f>
        <v>-4.5237504625632252E-2</v>
      </c>
      <c r="L43" s="225">
        <f>Financials!BC106</f>
        <v>1.0123041007228606E-2</v>
      </c>
      <c r="M43" s="225">
        <f>Financials!BH106</f>
        <v>0</v>
      </c>
      <c r="N43" s="225">
        <f>Financials!BI106</f>
        <v>0</v>
      </c>
      <c r="O43" s="225">
        <f>Financials!BJ106</f>
        <v>0</v>
      </c>
      <c r="P43" s="225">
        <f>Financials!BK106</f>
        <v>0</v>
      </c>
      <c r="Q43" s="225">
        <f>Financials!BL106</f>
        <v>0</v>
      </c>
      <c r="R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 spans="1:39" ht="12.75" customHeight="1">
      <c r="A44" s="9"/>
      <c r="B44" s="81" t="s">
        <v>287</v>
      </c>
      <c r="D44" s="6"/>
      <c r="E44" s="225">
        <f>Financials!T89</f>
        <v>0.79833188235864483</v>
      </c>
      <c r="F44" s="225">
        <f>Financials!Y89</f>
        <v>0.53337314208145847</v>
      </c>
      <c r="G44" s="225">
        <f>Financials!AD89</f>
        <v>0.793414544334619</v>
      </c>
      <c r="H44" s="225">
        <f>Financials!AI89</f>
        <v>0.79474937330080442</v>
      </c>
      <c r="I44" s="225">
        <f>Financials!AN89</f>
        <v>0.81173700068652921</v>
      </c>
      <c r="J44" s="225">
        <f>Financials!AS89</f>
        <v>0.79955291632451586</v>
      </c>
      <c r="K44" s="225">
        <f>Financials!AX89</f>
        <v>0.81746901444641595</v>
      </c>
      <c r="L44" s="225">
        <f>Financials!BC89</f>
        <v>0.82747327199891019</v>
      </c>
      <c r="M44" s="225">
        <f>Financials!BH89</f>
        <v>0.82747327199891008</v>
      </c>
      <c r="N44" s="225">
        <f>Financials!BI89</f>
        <v>0.82747327199891008</v>
      </c>
      <c r="O44" s="225">
        <f>Financials!BJ89</f>
        <v>0.82747327199891008</v>
      </c>
      <c r="P44" s="225">
        <f>Financials!BK89</f>
        <v>0.82747327199891008</v>
      </c>
      <c r="Q44" s="225">
        <f>Financials!BL89</f>
        <v>0.82747327199891008</v>
      </c>
      <c r="R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spans="1:39" ht="12.75" customHeight="1">
      <c r="A45" s="9"/>
      <c r="B45" s="81" t="s">
        <v>353</v>
      </c>
      <c r="D45" s="6"/>
      <c r="E45" s="225">
        <f>Financials!T110</f>
        <v>-2.1144301328662518E-2</v>
      </c>
      <c r="F45" s="225">
        <f>Financials!Y110</f>
        <v>-0.13275394152409736</v>
      </c>
      <c r="G45" s="225">
        <f>Financials!AD110</f>
        <v>0.42241409222783233</v>
      </c>
      <c r="H45" s="225">
        <f>Financials!AI110</f>
        <v>0.10761521296569199</v>
      </c>
      <c r="I45" s="225">
        <f>Financials!AN110</f>
        <v>2.4029552209335225E-2</v>
      </c>
      <c r="J45" s="225">
        <f>Financials!AS110</f>
        <v>1.9140528062102202E-2</v>
      </c>
      <c r="K45" s="225">
        <f>Financials!AX110</f>
        <v>8.1127076625955308E-3</v>
      </c>
      <c r="L45" s="225">
        <f>Financials!BC110</f>
        <v>-4.9970489479543079E-2</v>
      </c>
      <c r="M45" s="225">
        <f>Financials!BH110</f>
        <v>-3.0000000000000138E-2</v>
      </c>
      <c r="N45" s="225">
        <f>Financials!BI110</f>
        <v>-0.03</v>
      </c>
      <c r="O45" s="225">
        <f>Financials!BJ110</f>
        <v>-0.03</v>
      </c>
      <c r="P45" s="225">
        <f>Financials!BK110</f>
        <v>-0.03</v>
      </c>
      <c r="Q45" s="225">
        <f>Financials!BL110</f>
        <v>-0.03</v>
      </c>
      <c r="R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spans="1:39" ht="12.75" customHeight="1">
      <c r="A46" s="9"/>
      <c r="B46" s="81" t="s">
        <v>354</v>
      </c>
      <c r="D46" s="6"/>
      <c r="E46" s="225">
        <f>Financials!T109</f>
        <v>-6.4734057537984002E-2</v>
      </c>
      <c r="F46" s="225">
        <f>Financials!Y109</f>
        <v>4.3394703271948387E-3</v>
      </c>
      <c r="G46" s="225">
        <f>Financials!AD109</f>
        <v>-0.67964007061186549</v>
      </c>
      <c r="H46" s="225">
        <f>Financials!AI109</f>
        <v>0.44102828927741067</v>
      </c>
      <c r="I46" s="225">
        <f>Financials!AN109</f>
        <v>1.9267848231897307</v>
      </c>
      <c r="J46" s="225">
        <f>Financials!AS109</f>
        <v>0.78022764984337178</v>
      </c>
      <c r="K46" s="225">
        <f>Financials!AX109</f>
        <v>-0.47434977832376912</v>
      </c>
      <c r="L46" s="225">
        <f>Financials!BC109</f>
        <v>-0.10045537276526983</v>
      </c>
      <c r="M46" s="225">
        <f>Financials!BH109</f>
        <v>0</v>
      </c>
      <c r="N46" s="225">
        <f>Financials!BI109</f>
        <v>0</v>
      </c>
      <c r="O46" s="225">
        <f>Financials!BJ109</f>
        <v>0</v>
      </c>
      <c r="P46" s="225">
        <f>Financials!BK109</f>
        <v>0</v>
      </c>
      <c r="Q46" s="225">
        <f>Financials!BL109</f>
        <v>0</v>
      </c>
      <c r="R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39" ht="12.75" customHeight="1">
      <c r="A47" s="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39" ht="12.75" customHeight="1">
      <c r="A48" s="9"/>
      <c r="B48" s="224" t="s">
        <v>254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spans="1:39" ht="12.75" customHeight="1">
      <c r="A49" s="9"/>
      <c r="B49" s="81" t="s">
        <v>305</v>
      </c>
      <c r="D49" s="6"/>
      <c r="E49" s="61">
        <f>Financials!T143</f>
        <v>180723</v>
      </c>
      <c r="F49" s="61">
        <f>Financials!Y143</f>
        <v>116347.75</v>
      </c>
      <c r="G49" s="61">
        <f>Financials!AD143</f>
        <v>76190.5</v>
      </c>
      <c r="H49" s="61">
        <f>Financials!AI143</f>
        <v>93563.25</v>
      </c>
      <c r="I49" s="61">
        <f>Financials!AN143</f>
        <v>104173.5</v>
      </c>
      <c r="J49" s="61">
        <f>Financials!AS143</f>
        <v>104431.5</v>
      </c>
      <c r="K49" s="61">
        <f>Financials!AX143</f>
        <v>103704.25</v>
      </c>
      <c r="L49" s="61">
        <f>Financials!BC143</f>
        <v>105288.25000000001</v>
      </c>
      <c r="M49" s="61">
        <f>Financials!BH143</f>
        <v>107394.01500000001</v>
      </c>
      <c r="N49" s="61">
        <f>Financials!BI143</f>
        <v>109541.89530000002</v>
      </c>
      <c r="O49" s="61">
        <f>Financials!BJ143</f>
        <v>111732.73320600002</v>
      </c>
      <c r="P49" s="61">
        <f>Financials!BK143</f>
        <v>113967.38787012002</v>
      </c>
      <c r="Q49" s="61">
        <f>Financials!BL143</f>
        <v>116246.73562752242</v>
      </c>
      <c r="R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1:39" ht="12.75" customHeight="1">
      <c r="A50" s="9"/>
      <c r="B50" s="81" t="s">
        <v>359</v>
      </c>
      <c r="D50" s="6"/>
      <c r="E50" s="225">
        <f>Financials!T161</f>
        <v>5.5185100022991929E-3</v>
      </c>
      <c r="F50" s="225">
        <f>Financials!Y161</f>
        <v>-8.646904499599839E-2</v>
      </c>
      <c r="G50" s="225">
        <f>Financials!AD161</f>
        <v>0.21784325567598573</v>
      </c>
      <c r="H50" s="225">
        <f>Financials!AI161</f>
        <v>0.16715770518343209</v>
      </c>
      <c r="I50" s="225">
        <f>Financials!AN161</f>
        <v>2.3688799955956519E-4</v>
      </c>
      <c r="J50" s="225">
        <f>Financials!AS161</f>
        <v>-3.0116557346491435E-2</v>
      </c>
      <c r="K50" s="225">
        <f>Financials!AX161</f>
        <v>3.9169334162769687E-3</v>
      </c>
      <c r="L50" s="225">
        <f>Financials!BC161</f>
        <v>1.0117017832467212E-2</v>
      </c>
      <c r="M50" s="225">
        <f>Financials!BH161</f>
        <v>0</v>
      </c>
      <c r="N50" s="225">
        <f>Financials!BI161</f>
        <v>0</v>
      </c>
      <c r="O50" s="225">
        <f>Financials!BJ161</f>
        <v>0</v>
      </c>
      <c r="P50" s="225">
        <f>Financials!BK161</f>
        <v>0</v>
      </c>
      <c r="Q50" s="225">
        <f>Financials!BL161</f>
        <v>0</v>
      </c>
      <c r="R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spans="1:39" ht="12.75" customHeight="1">
      <c r="A51" s="9"/>
      <c r="B51" s="81" t="s">
        <v>287</v>
      </c>
      <c r="D51" s="6"/>
      <c r="E51" s="225">
        <f>Financials!T144</f>
        <v>0.76009762613320508</v>
      </c>
      <c r="F51" s="225">
        <f>Financials!Y144</f>
        <v>0.57879509722633948</v>
      </c>
      <c r="G51" s="225">
        <f>Financials!AD144</f>
        <v>0.73593651612675182</v>
      </c>
      <c r="H51" s="225">
        <f>Financials!AI144</f>
        <v>0.73446492996526791</v>
      </c>
      <c r="I51" s="225">
        <f>Financials!AN144</f>
        <v>0.76140990146633225</v>
      </c>
      <c r="J51" s="225">
        <f>Financials!AS144</f>
        <v>0.76131721690216303</v>
      </c>
      <c r="K51" s="225">
        <f>Financials!AX144</f>
        <v>0.78710837246433907</v>
      </c>
      <c r="L51" s="225">
        <f>Financials!BC144</f>
        <v>0.79712554877197417</v>
      </c>
      <c r="M51" s="225">
        <f>Financials!BH144</f>
        <v>0.79712554877197428</v>
      </c>
      <c r="N51" s="225">
        <f>Financials!BI144</f>
        <v>0.79712554877197428</v>
      </c>
      <c r="O51" s="225">
        <f>Financials!BJ144</f>
        <v>0.79712554877197428</v>
      </c>
      <c r="P51" s="225">
        <f>Financials!BK144</f>
        <v>0.79712554877197428</v>
      </c>
      <c r="Q51" s="225">
        <f>Financials!BL144</f>
        <v>0.79712554877197428</v>
      </c>
      <c r="R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spans="1:39" ht="12.75" customHeight="1">
      <c r="A52" s="9"/>
      <c r="B52" s="81" t="s">
        <v>353</v>
      </c>
      <c r="D52" s="6"/>
      <c r="E52" s="225">
        <f>Financials!T165</f>
        <v>2.7987040890267156E-3</v>
      </c>
      <c r="F52" s="225">
        <f>Financials!Y165</f>
        <v>-0.12275238537669797</v>
      </c>
      <c r="G52" s="225">
        <f>Financials!AD165</f>
        <v>0.24684350482041939</v>
      </c>
      <c r="H52" s="225">
        <f>Financials!AI165</f>
        <v>-2.0123078008859263E-2</v>
      </c>
      <c r="I52" s="225">
        <f>Financials!AN165</f>
        <v>8.567374683517448E-2</v>
      </c>
      <c r="J52" s="225">
        <f>Financials!AS165</f>
        <v>9.7675766969103961E-2</v>
      </c>
      <c r="K52" s="225">
        <f>Financials!AX165</f>
        <v>7.2167447652839556E-2</v>
      </c>
      <c r="L52" s="225">
        <f>Financials!BC165</f>
        <v>-4.9843630260572813E-2</v>
      </c>
      <c r="M52" s="225">
        <f>Financials!BH165</f>
        <v>-3.0000000000000138E-2</v>
      </c>
      <c r="N52" s="225">
        <f>Financials!BI165</f>
        <v>0</v>
      </c>
      <c r="O52" s="225">
        <f>Financials!BJ165</f>
        <v>0</v>
      </c>
      <c r="P52" s="225">
        <f>Financials!BK165</f>
        <v>0</v>
      </c>
      <c r="Q52" s="225">
        <f>Financials!BL165</f>
        <v>0</v>
      </c>
      <c r="R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spans="1:39" ht="12.75" customHeight="1">
      <c r="A53" s="9"/>
      <c r="B53" s="81" t="s">
        <v>354</v>
      </c>
      <c r="D53" s="6"/>
      <c r="E53" s="225">
        <f>Financials!T164</f>
        <v>-1.9612492994409148E-2</v>
      </c>
      <c r="F53" s="225">
        <f>Financials!Y164</f>
        <v>-3.1839779285184777E-2</v>
      </c>
      <c r="G53" s="225">
        <f>Financials!AD164</f>
        <v>-0.14250141242036329</v>
      </c>
      <c r="H53" s="225">
        <f>Financials!AI164</f>
        <v>-0.21740599048195786</v>
      </c>
      <c r="I53" s="225">
        <f>Financials!AN164</f>
        <v>0.60210233992433859</v>
      </c>
      <c r="J53" s="225">
        <f>Financials!AS164</f>
        <v>0.55626533387655308</v>
      </c>
      <c r="K53" s="225">
        <f>Financials!AX164</f>
        <v>-0.1369263935204067</v>
      </c>
      <c r="L53" s="225">
        <f>Financials!BC164</f>
        <v>-6.8031117986640854E-2</v>
      </c>
      <c r="M53" s="225">
        <f>Financials!BH164</f>
        <v>0</v>
      </c>
      <c r="N53" s="225">
        <f>Financials!BI164</f>
        <v>0</v>
      </c>
      <c r="O53" s="225">
        <f>Financials!BJ164</f>
        <v>0</v>
      </c>
      <c r="P53" s="225">
        <f>Financials!BK164</f>
        <v>0</v>
      </c>
      <c r="Q53" s="225">
        <f>Financials!BL164</f>
        <v>0</v>
      </c>
      <c r="R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spans="1:39" ht="12.75" customHeight="1">
      <c r="A54" s="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spans="1:39" s="1" customFormat="1" ht="12.75" customHeight="1">
      <c r="A55" s="10"/>
      <c r="B55" s="112" t="s">
        <v>75</v>
      </c>
      <c r="C55" s="112"/>
      <c r="D55" s="113"/>
      <c r="E55" s="113">
        <f>Financials!T282</f>
        <v>657</v>
      </c>
      <c r="F55" s="113">
        <f>Financials!Y282</f>
        <v>-1004</v>
      </c>
      <c r="G55" s="113">
        <f>Financials!AD282</f>
        <v>2129</v>
      </c>
      <c r="H55" s="113">
        <f>Financials!AI282</f>
        <v>2305</v>
      </c>
      <c r="I55" s="113">
        <f>Financials!AN282</f>
        <v>561</v>
      </c>
      <c r="J55" s="113">
        <f>Financials!AS282</f>
        <v>-1541</v>
      </c>
      <c r="K55" s="113">
        <f>Financials!AX282</f>
        <v>-339</v>
      </c>
      <c r="L55" s="10">
        <f>Financials!BC282</f>
        <v>71.170039285052212</v>
      </c>
      <c r="M55" s="10">
        <f>Financials!BH282</f>
        <v>159.889121270754</v>
      </c>
      <c r="N55" s="10">
        <f>Financials!BI282</f>
        <v>301.72062760491508</v>
      </c>
      <c r="O55" s="10">
        <f>Financials!BJ282</f>
        <v>434.46001456951626</v>
      </c>
      <c r="P55" s="10">
        <f>Financials!BK282</f>
        <v>575.08334393173868</v>
      </c>
      <c r="Q55" s="10">
        <f>Financials!BL282</f>
        <v>717.16770211305356</v>
      </c>
      <c r="R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1:39" s="1" customFormat="1" ht="12.75" customHeight="1">
      <c r="A56" s="10"/>
      <c r="B56" s="112" t="s">
        <v>42</v>
      </c>
      <c r="C56" s="112"/>
      <c r="D56" s="112"/>
      <c r="E56" s="112">
        <f t="shared" ref="E56:Q56" si="2">E55/E38</f>
        <v>6.7184783720216787E-2</v>
      </c>
      <c r="F56" s="112">
        <f t="shared" si="2"/>
        <v>-0.1909471281856219</v>
      </c>
      <c r="G56" s="112">
        <f t="shared" si="2"/>
        <v>0.29017309527054652</v>
      </c>
      <c r="H56" s="112">
        <f t="shared" si="2"/>
        <v>0.26540011514104778</v>
      </c>
      <c r="I56" s="112">
        <f t="shared" si="2"/>
        <v>5.9865542631522786E-2</v>
      </c>
      <c r="J56" s="112">
        <f t="shared" si="2"/>
        <v>-0.17029506022764945</v>
      </c>
      <c r="K56" s="112">
        <f t="shared" si="2"/>
        <v>-3.9863593603010346E-2</v>
      </c>
      <c r="L56" s="112">
        <f t="shared" si="2"/>
        <v>8.1815477865516493E-3</v>
      </c>
      <c r="M56" s="112">
        <f t="shared" si="2"/>
        <v>1.802009224182578E-2</v>
      </c>
      <c r="N56" s="112">
        <f t="shared" si="2"/>
        <v>3.3256404477088247E-2</v>
      </c>
      <c r="O56" s="112">
        <f t="shared" si="2"/>
        <v>4.7076932067098086E-2</v>
      </c>
      <c r="P56" s="112">
        <f t="shared" si="2"/>
        <v>6.1092649173916838E-2</v>
      </c>
      <c r="Q56" s="112">
        <f t="shared" si="2"/>
        <v>7.4692796468712713E-2</v>
      </c>
      <c r="R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1:39" s="1" customFormat="1" ht="12.75" customHeight="1">
      <c r="A57" s="10"/>
      <c r="B57" s="112" t="s">
        <v>41</v>
      </c>
      <c r="C57" s="112"/>
      <c r="D57" s="112"/>
      <c r="E57" s="112"/>
      <c r="F57" s="112">
        <f>F55/E55-1</f>
        <v>-2.5281582952815826</v>
      </c>
      <c r="G57" s="112">
        <f>G55/F55-1</f>
        <v>-3.1205179282868527</v>
      </c>
      <c r="H57" s="112">
        <f>H55/G55-1</f>
        <v>8.2667919210897223E-2</v>
      </c>
      <c r="I57" s="112">
        <f t="shared" ref="I57:Q57" si="3">I55/H55-1</f>
        <v>-0.75661605206073757</v>
      </c>
      <c r="J57" s="112">
        <f t="shared" si="3"/>
        <v>-3.7468805704099823</v>
      </c>
      <c r="K57" s="112">
        <f t="shared" si="3"/>
        <v>-0.78001297858533425</v>
      </c>
      <c r="L57" s="112">
        <f t="shared" si="3"/>
        <v>-1.2099411188349622</v>
      </c>
      <c r="M57" s="112">
        <f t="shared" si="3"/>
        <v>1.2465790784569006</v>
      </c>
      <c r="N57" s="112">
        <f t="shared" si="3"/>
        <v>0.88706164126066822</v>
      </c>
      <c r="O57" s="112">
        <f t="shared" si="3"/>
        <v>0.43994137231616581</v>
      </c>
      <c r="P57" s="112">
        <f t="shared" si="3"/>
        <v>0.32367381265582917</v>
      </c>
      <c r="Q57" s="112">
        <f t="shared" si="3"/>
        <v>0.24706742019323724</v>
      </c>
      <c r="R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1:39" ht="12.75" customHeight="1">
      <c r="A58" s="9"/>
      <c r="F58" s="9"/>
      <c r="G58" s="9"/>
      <c r="H58" s="9"/>
      <c r="I58" s="9"/>
      <c r="J58" s="9"/>
      <c r="K58" s="9"/>
      <c r="L58" s="9"/>
      <c r="R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spans="1:39" s="1" customFormat="1" ht="12.75" customHeight="1">
      <c r="A59" s="10"/>
      <c r="B59" s="1" t="s">
        <v>355</v>
      </c>
      <c r="C59" s="113"/>
      <c r="D59" s="113"/>
      <c r="E59" s="113">
        <f>Financials!T421</f>
        <v>-42</v>
      </c>
      <c r="F59" s="113">
        <f>Financials!Y421</f>
        <v>-734</v>
      </c>
      <c r="G59" s="113">
        <f>Financials!AD421</f>
        <v>-869</v>
      </c>
      <c r="H59" s="113">
        <f>Financials!AI421</f>
        <v>1335</v>
      </c>
      <c r="I59" s="113">
        <f>Financials!AN421</f>
        <v>-343</v>
      </c>
      <c r="J59" s="113">
        <f>Financials!AS421</f>
        <v>-1658</v>
      </c>
      <c r="K59" s="113">
        <f>Financials!AX421</f>
        <v>-199</v>
      </c>
      <c r="L59" s="10">
        <f ca="1">Financials!BC421</f>
        <v>1562.4022790562676</v>
      </c>
      <c r="M59" s="10">
        <f ca="1">Financials!BH421</f>
        <v>1824.8741403556589</v>
      </c>
      <c r="N59" s="10">
        <f ca="1">Financials!BI421</f>
        <v>2177.974491651662</v>
      </c>
      <c r="O59" s="10">
        <f ca="1">Financials!BJ421</f>
        <v>2544.3935697888537</v>
      </c>
      <c r="P59" s="10">
        <f ca="1">Financials!BK421</f>
        <v>2953.6466682499922</v>
      </c>
      <c r="Q59" s="10">
        <f ca="1">Financials!BL421</f>
        <v>3400.0150472372416</v>
      </c>
      <c r="R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spans="1:39" s="1" customFormat="1" ht="12.75" customHeight="1">
      <c r="A60" s="10"/>
      <c r="B60" s="1" t="s">
        <v>42</v>
      </c>
      <c r="C60" s="112"/>
      <c r="D60" s="112"/>
      <c r="E60" s="112">
        <f t="shared" ref="E60:Q60" si="4">E59/E$38</f>
        <v>-4.2949176807444527E-3</v>
      </c>
      <c r="F60" s="112">
        <f t="shared" si="4"/>
        <v>-0.13959680486877141</v>
      </c>
      <c r="G60" s="112">
        <f t="shared" si="4"/>
        <v>-0.1184407796101949</v>
      </c>
      <c r="H60" s="112">
        <f t="shared" si="4"/>
        <v>0.153713298791019</v>
      </c>
      <c r="I60" s="112">
        <f t="shared" si="4"/>
        <v>-3.6602283641020167E-2</v>
      </c>
      <c r="J60" s="112">
        <f t="shared" si="4"/>
        <v>-0.1832246657089181</v>
      </c>
      <c r="K60" s="112">
        <f t="shared" si="4"/>
        <v>-2.3400752587017876E-2</v>
      </c>
      <c r="L60" s="112">
        <f t="shared" ca="1" si="4"/>
        <v>0.17961025505013081</v>
      </c>
      <c r="M60" s="112">
        <f t="shared" ca="1" si="4"/>
        <v>0.20567002981550894</v>
      </c>
      <c r="N60" s="112">
        <f t="shared" ca="1" si="4"/>
        <v>0.24006181218074732</v>
      </c>
      <c r="O60" s="112">
        <f t="shared" ca="1" si="4"/>
        <v>0.27570372236809187</v>
      </c>
      <c r="P60" s="112">
        <f t="shared" ca="1" si="4"/>
        <v>0.31377382355299743</v>
      </c>
      <c r="Q60" s="112">
        <f t="shared" ca="1" si="4"/>
        <v>0.35411052556549522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spans="1:39" ht="12.75" customHeight="1">
      <c r="A61" s="9"/>
      <c r="L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39" ht="12.75" customHeight="1">
      <c r="A62" s="9"/>
      <c r="B62" s="81" t="s">
        <v>356</v>
      </c>
      <c r="C62" s="61"/>
      <c r="D62" s="61"/>
      <c r="E62" s="226" t="e">
        <f>Financials!#REF!</f>
        <v>#REF!</v>
      </c>
      <c r="F62" s="226" t="e">
        <f>Financials!#REF!</f>
        <v>#REF!</v>
      </c>
      <c r="G62" s="226" t="e">
        <f>Financials!#REF!</f>
        <v>#REF!</v>
      </c>
      <c r="H62" s="226" t="e">
        <f>Financials!#REF!</f>
        <v>#REF!</v>
      </c>
      <c r="I62" s="226" t="e">
        <f>Financials!#REF!</f>
        <v>#REF!</v>
      </c>
      <c r="J62" s="226" t="e">
        <f>Financials!#REF!</f>
        <v>#REF!</v>
      </c>
      <c r="K62" s="226" t="e">
        <f>Financials!#REF!</f>
        <v>#REF!</v>
      </c>
      <c r="L62" s="118" t="e">
        <f>Financials!#REF!</f>
        <v>#REF!</v>
      </c>
      <c r="M62" s="118" t="e">
        <f>Financials!#REF!</f>
        <v>#REF!</v>
      </c>
      <c r="N62" s="118" t="e">
        <f>Financials!#REF!</f>
        <v>#REF!</v>
      </c>
      <c r="O62" s="118" t="e">
        <f>Financials!#REF!</f>
        <v>#REF!</v>
      </c>
      <c r="P62" s="118" t="e">
        <f>Financials!#REF!</f>
        <v>#REF!</v>
      </c>
      <c r="Q62" s="118" t="e">
        <f>Financials!#REF!</f>
        <v>#REF!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39" ht="12.75" customHeight="1">
      <c r="A63" s="9"/>
      <c r="B63" s="81" t="s">
        <v>357</v>
      </c>
      <c r="C63" s="61"/>
      <c r="D63" s="61"/>
      <c r="E63" s="226">
        <f>Financials!T67</f>
        <v>3755</v>
      </c>
      <c r="F63" s="226">
        <f>Financials!Y67</f>
        <v>268</v>
      </c>
      <c r="G63" s="226">
        <f>Financials!AD67</f>
        <v>3055</v>
      </c>
      <c r="H63" s="226">
        <f>Financials!AI67</f>
        <v>3035</v>
      </c>
      <c r="I63" s="226">
        <f>Financials!AN67</f>
        <v>3515</v>
      </c>
      <c r="J63" s="226">
        <f>Financials!AS67</f>
        <v>5170</v>
      </c>
      <c r="K63" s="226">
        <f>Financials!AX67</f>
        <v>5870</v>
      </c>
      <c r="L63" s="118">
        <f ca="1">Financials!BC67</f>
        <v>4064.7113209437321</v>
      </c>
      <c r="M63" s="118">
        <f ca="1">Financials!BH67</f>
        <v>2263.7552503480738</v>
      </c>
      <c r="N63" s="118">
        <f ca="1">Financials!BI67</f>
        <v>111.14329227721169</v>
      </c>
      <c r="O63" s="118">
        <f ca="1">Financials!BJ67</f>
        <v>-2405.8587412443771</v>
      </c>
      <c r="P63" s="118">
        <f ca="1">Financials!BK67</f>
        <v>-5329.9225503257239</v>
      </c>
      <c r="Q63" s="118">
        <f ca="1">Financials!BL67</f>
        <v>-8697.9881096608278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spans="1:39" ht="12.75" customHeight="1">
      <c r="A64" s="9"/>
      <c r="B64" s="81" t="s">
        <v>358</v>
      </c>
      <c r="C64" s="61"/>
      <c r="D64" s="61"/>
      <c r="E64" s="61">
        <f>Financials!T7</f>
        <v>865</v>
      </c>
      <c r="F64" s="61">
        <f>Financials!Y7</f>
        <v>1096</v>
      </c>
      <c r="G64" s="61">
        <f>Financials!AD7</f>
        <v>2258</v>
      </c>
      <c r="H64" s="61">
        <f>Financials!AI7</f>
        <v>943</v>
      </c>
      <c r="I64" s="61">
        <f>Financials!AN7</f>
        <v>764</v>
      </c>
      <c r="J64" s="61">
        <f>Financials!AS7</f>
        <v>592</v>
      </c>
      <c r="K64" s="61">
        <f>Financials!AX7</f>
        <v>565</v>
      </c>
      <c r="L64" s="61">
        <f ca="1">Financials!BC7</f>
        <v>300</v>
      </c>
      <c r="M64" s="61">
        <f ca="1">Financials!BH7</f>
        <v>300</v>
      </c>
      <c r="N64" s="61">
        <f ca="1">Financials!BI7</f>
        <v>299.99999999999955</v>
      </c>
      <c r="O64" s="61">
        <f ca="1">Financials!BJ7</f>
        <v>299.99999999999955</v>
      </c>
      <c r="P64" s="61">
        <f ca="1">Financials!BK7</f>
        <v>299.99999999999955</v>
      </c>
      <c r="Q64" s="61">
        <f ca="1">Financials!BL7</f>
        <v>299.99999999999955</v>
      </c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spans="1:38" ht="12.75" customHeight="1">
      <c r="A65" s="9"/>
      <c r="B65" s="81"/>
      <c r="C65" s="14"/>
      <c r="D65" s="14"/>
      <c r="E65" s="61"/>
      <c r="F65" s="14"/>
      <c r="G65" s="14"/>
      <c r="H65" s="14"/>
      <c r="I65" s="14"/>
      <c r="J65" s="14"/>
      <c r="K65" s="14"/>
      <c r="L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spans="1:38" ht="12.75" customHeight="1">
      <c r="A66" s="9"/>
      <c r="B66" s="121" t="s">
        <v>80</v>
      </c>
      <c r="C66" s="14"/>
      <c r="D66" s="14"/>
      <c r="E66" s="227">
        <f>Financials!T69</f>
        <v>-0.31202435312024351</v>
      </c>
      <c r="F66" s="227">
        <f>Financials!Y69</f>
        <v>0.84262948207171318</v>
      </c>
      <c r="G66" s="227">
        <f>Financials!AD69</f>
        <v>-0.33771723813997184</v>
      </c>
      <c r="H66" s="227">
        <f>Financials!AI69</f>
        <v>0.2529284164859002</v>
      </c>
      <c r="I66" s="227">
        <f>Financials!AN69</f>
        <v>2.2263814616755795</v>
      </c>
      <c r="J66" s="227">
        <f>Financials!AS69</f>
        <v>-1.835171966255678</v>
      </c>
      <c r="K66" s="227">
        <f>Financials!AX69</f>
        <v>-10.038348082595871</v>
      </c>
      <c r="L66" s="153">
        <f ca="1">Financials!BC69</f>
        <v>28.672145490473241</v>
      </c>
      <c r="M66" s="153">
        <f ca="1">Financials!BH69</f>
        <v>1.3492073686662545</v>
      </c>
      <c r="N66" s="153">
        <f ca="1">Financials!BI69</f>
        <v>-6.5035358259728824</v>
      </c>
      <c r="O66" s="153">
        <f ca="1">Financials!BJ69</f>
        <v>-10.372978708565022</v>
      </c>
      <c r="P66" s="153">
        <f ca="1">Financials!BK69</f>
        <v>-12.972539072506951</v>
      </c>
      <c r="Q66" s="153">
        <f ca="1">Financials!BL69</f>
        <v>-15.1433286305853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spans="1:38" ht="12.75" customHeight="1">
      <c r="A67" s="9"/>
      <c r="B67" s="121" t="s">
        <v>301</v>
      </c>
      <c r="C67" s="14"/>
      <c r="D67" s="14"/>
      <c r="E67" s="227">
        <f>Financials!T70</f>
        <v>0.22070015220700151</v>
      </c>
      <c r="F67" s="227">
        <f>Financials!Y70</f>
        <v>0.84262948207171318</v>
      </c>
      <c r="G67" s="227">
        <f>Financials!AD70</f>
        <v>-0.33771723813997184</v>
      </c>
      <c r="H67" s="227">
        <f>Financials!AI70</f>
        <v>0.2529284164859002</v>
      </c>
      <c r="I67" s="227">
        <f>Financials!AN70</f>
        <v>2.2263814616755795</v>
      </c>
      <c r="J67" s="227">
        <f>Financials!AS70</f>
        <v>-1.9974042829331602</v>
      </c>
      <c r="K67" s="227">
        <f>Financials!AX70</f>
        <v>-10.837758112094395</v>
      </c>
      <c r="L67" s="153">
        <f ca="1">Financials!BC70</f>
        <v>32.790642584819508</v>
      </c>
      <c r="M67" s="153">
        <f ca="1">Financials!BH70</f>
        <v>3.3320293845752849</v>
      </c>
      <c r="N67" s="153">
        <f ca="1">Financials!BI70</f>
        <v>-5.3687304066061143</v>
      </c>
      <c r="O67" s="153">
        <f ca="1">Financials!BJ70</f>
        <v>-9.5218399910596467</v>
      </c>
      <c r="P67" s="153">
        <f ca="1">Financials!BK70</f>
        <v>-12.278085645902209</v>
      </c>
      <c r="Q67" s="153">
        <f ca="1">Financials!BL70</f>
        <v>-14.541909903266689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spans="1:38" ht="12.75" customHeight="1">
      <c r="A68" s="9"/>
      <c r="B68" s="121" t="s">
        <v>302</v>
      </c>
      <c r="C68" s="14"/>
      <c r="D68" s="14"/>
      <c r="E68" s="227">
        <f>Financials!T71</f>
        <v>4.3987823439878238</v>
      </c>
      <c r="F68" s="227">
        <f>Financials!Y71</f>
        <v>0.82470119521912355</v>
      </c>
      <c r="G68" s="227">
        <f>Financials!AD71</f>
        <v>0.37435415688116486</v>
      </c>
      <c r="H68" s="227">
        <f>Financials!AI71</f>
        <v>0.90759219088937093</v>
      </c>
      <c r="I68" s="227">
        <f>Financials!AN71</f>
        <v>4.903743315508021</v>
      </c>
      <c r="J68" s="227">
        <f>Financials!AS71</f>
        <v>-2.9707981829980534</v>
      </c>
      <c r="K68" s="227">
        <f>Financials!AX71</f>
        <v>-15.64896755162242</v>
      </c>
      <c r="L68" s="153">
        <f ca="1">Financials!BC71</f>
        <v>52.897418053475725</v>
      </c>
      <c r="M68" s="153">
        <f ca="1">Financials!BH71</f>
        <v>12.281981630399219</v>
      </c>
      <c r="N68" s="153">
        <f ca="1">Financials!BI71</f>
        <v>-0.62593237068989627</v>
      </c>
      <c r="O68" s="153">
        <f ca="1">Financials!BJ71</f>
        <v>-6.2280961434977415</v>
      </c>
      <c r="P68" s="153">
        <f ca="1">Financials!BK71</f>
        <v>-9.7897506678509973</v>
      </c>
      <c r="Q68" s="153">
        <f ca="1">Financials!BL71</f>
        <v>-12.546560704210846</v>
      </c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spans="1:38" ht="12.75" customHeight="1">
      <c r="A69" s="9"/>
      <c r="B69" s="121"/>
      <c r="C69" s="14"/>
      <c r="D69" s="14"/>
      <c r="E69" s="61"/>
      <c r="F69" s="14"/>
      <c r="G69" s="14"/>
      <c r="H69" s="14"/>
      <c r="I69" s="14"/>
      <c r="J69" s="14"/>
      <c r="K69" s="14"/>
      <c r="L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spans="1:38" ht="12.75" customHeight="1">
      <c r="A70" s="9"/>
      <c r="B70" s="81" t="s">
        <v>59</v>
      </c>
      <c r="C70" s="14"/>
      <c r="D70" s="14"/>
      <c r="E70" s="14"/>
      <c r="F70" s="14"/>
      <c r="G70" s="14"/>
      <c r="H70" s="14"/>
      <c r="I70" s="14"/>
      <c r="J70" s="14"/>
      <c r="K70" s="14"/>
      <c r="L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spans="1:38" ht="12.75" customHeight="1">
      <c r="A71" s="9"/>
      <c r="B71" s="81" t="s">
        <v>362</v>
      </c>
      <c r="C71" s="14"/>
      <c r="D71" s="14"/>
      <c r="E71" s="14"/>
      <c r="F71" s="14"/>
      <c r="G71" s="14"/>
      <c r="H71" s="14"/>
      <c r="I71" s="14"/>
      <c r="J71" s="34"/>
      <c r="K71" s="34"/>
      <c r="L71" s="34" t="s">
        <v>365</v>
      </c>
      <c r="M71" s="34" t="s">
        <v>365</v>
      </c>
      <c r="N71" s="34" t="s">
        <v>365</v>
      </c>
      <c r="O71" s="34" t="s">
        <v>365</v>
      </c>
      <c r="P71" s="34" t="s">
        <v>365</v>
      </c>
      <c r="Q71" s="34" t="s">
        <v>365</v>
      </c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spans="1:38" ht="12.75" customHeight="1">
      <c r="A72" s="9"/>
      <c r="B72" s="81" t="s">
        <v>84</v>
      </c>
      <c r="C72" s="14"/>
      <c r="D72" s="14"/>
      <c r="E72" s="14"/>
      <c r="F72" s="14"/>
      <c r="G72" s="14"/>
      <c r="H72" s="14"/>
      <c r="I72" s="14"/>
      <c r="J72" s="34"/>
      <c r="K72" s="158"/>
      <c r="L72" s="158"/>
      <c r="M72" s="158"/>
      <c r="N72" s="158"/>
      <c r="O72" s="158"/>
      <c r="P72" s="158"/>
      <c r="Q72" s="158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spans="1:38" ht="12.75" customHeight="1">
      <c r="A73" s="9"/>
      <c r="B73" s="81"/>
      <c r="C73" s="14"/>
      <c r="D73" s="14"/>
      <c r="E73" s="14"/>
      <c r="F73" s="14"/>
      <c r="G73" s="14"/>
      <c r="H73" s="14"/>
      <c r="I73" s="14"/>
      <c r="J73" s="34"/>
      <c r="K73" s="158"/>
      <c r="L73" s="158"/>
      <c r="M73" s="158"/>
      <c r="N73" s="158"/>
      <c r="O73" s="158"/>
      <c r="P73" s="158"/>
      <c r="Q73" s="158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spans="1:38" ht="12.75" customHeight="1">
      <c r="A74" s="9"/>
      <c r="B74" s="81" t="s">
        <v>363</v>
      </c>
      <c r="C74" s="14"/>
      <c r="D74" s="14"/>
      <c r="E74" s="14"/>
      <c r="F74" s="14"/>
      <c r="G74" s="14"/>
      <c r="H74" s="14"/>
      <c r="I74" s="14"/>
      <c r="J74" s="34"/>
      <c r="K74" s="34"/>
      <c r="L74" s="34" t="s">
        <v>364</v>
      </c>
      <c r="M74" s="34" t="s">
        <v>364</v>
      </c>
      <c r="N74" s="34" t="s">
        <v>364</v>
      </c>
      <c r="O74" s="34" t="s">
        <v>364</v>
      </c>
      <c r="P74" s="34" t="s">
        <v>364</v>
      </c>
      <c r="Q74" s="34" t="s">
        <v>364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spans="1:38" ht="12.75" customHeight="1">
      <c r="A75" s="9"/>
      <c r="B75" s="81" t="s">
        <v>84</v>
      </c>
      <c r="C75" s="14"/>
      <c r="D75" s="14"/>
      <c r="E75" s="14"/>
      <c r="F75" s="14"/>
      <c r="G75" s="14"/>
      <c r="H75" s="14"/>
      <c r="I75" s="14"/>
      <c r="J75" s="34"/>
      <c r="K75" s="158"/>
      <c r="L75" s="158"/>
      <c r="M75" s="158"/>
      <c r="N75" s="158"/>
      <c r="O75" s="158"/>
      <c r="P75" s="158"/>
      <c r="Q75" s="158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spans="1:38" ht="12.75" customHeight="1">
      <c r="A76" s="9"/>
      <c r="L76" s="9"/>
      <c r="R76" s="85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8" ht="12.75" customHeight="1">
      <c r="A77" s="9"/>
      <c r="L77" s="9"/>
      <c r="R77" s="85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 ht="12.75" customHeight="1">
      <c r="A78" s="9"/>
      <c r="L78" s="9"/>
      <c r="R78" s="85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 ht="12.75" customHeight="1" thickBot="1">
      <c r="A79" s="9"/>
      <c r="B79" s="4" t="s">
        <v>70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 ht="12.75" customHeight="1">
      <c r="A80" s="9"/>
      <c r="B80" s="24"/>
      <c r="C80" s="88"/>
      <c r="D80" s="88" t="s">
        <v>107</v>
      </c>
      <c r="E80" s="88" t="s">
        <v>99</v>
      </c>
      <c r="F80" s="88" t="s">
        <v>55</v>
      </c>
      <c r="G80" s="88" t="s">
        <v>54</v>
      </c>
      <c r="H80" s="88" t="s">
        <v>105</v>
      </c>
      <c r="I80" s="221" t="s">
        <v>349</v>
      </c>
      <c r="J80" s="88" t="s">
        <v>56</v>
      </c>
      <c r="K80" s="88" t="s">
        <v>67</v>
      </c>
      <c r="L80" s="221" t="s">
        <v>349</v>
      </c>
      <c r="M80" s="88" t="s">
        <v>57</v>
      </c>
      <c r="N80" s="88" t="s">
        <v>81</v>
      </c>
      <c r="O80" s="88" t="s">
        <v>100</v>
      </c>
      <c r="P80" s="88" t="s">
        <v>101</v>
      </c>
      <c r="Q80" s="88" t="s">
        <v>48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 ht="12.75" customHeight="1" outlineLevel="1">
      <c r="A81" s="9"/>
      <c r="B81" s="24"/>
      <c r="C81" s="88"/>
      <c r="D81" s="178"/>
      <c r="E81" s="88"/>
      <c r="F81" s="88"/>
      <c r="G81" s="88"/>
      <c r="H81" s="152"/>
      <c r="I81" s="88"/>
      <c r="J81" s="88"/>
      <c r="K81" s="88"/>
      <c r="L81" s="88"/>
      <c r="M81" s="88"/>
      <c r="N81" s="88"/>
      <c r="O81" s="88"/>
      <c r="Q81" s="111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ht="12.75" customHeight="1">
      <c r="A82" s="9"/>
      <c r="B82" s="24"/>
      <c r="C82" s="88"/>
      <c r="D82" s="178"/>
      <c r="E82" s="88"/>
      <c r="F82" s="88"/>
      <c r="G82" s="88"/>
      <c r="H82" s="152"/>
      <c r="I82" s="88"/>
      <c r="J82" s="88"/>
      <c r="K82" s="88"/>
      <c r="L82" s="88"/>
      <c r="M82" s="88"/>
      <c r="N82" s="88"/>
      <c r="O82" s="88"/>
      <c r="Q82" s="1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s="81" customFormat="1" ht="12.75" customHeight="1">
      <c r="A83" s="118"/>
      <c r="B83" s="81" t="s">
        <v>350</v>
      </c>
      <c r="C83" s="94" t="s">
        <v>121</v>
      </c>
      <c r="D83" s="180" t="s">
        <v>120</v>
      </c>
      <c r="E83" s="36">
        <f>395+346</f>
        <v>741</v>
      </c>
      <c r="F83" s="94">
        <v>8.2799999999999999E-2</v>
      </c>
      <c r="G83" s="129">
        <v>46813</v>
      </c>
      <c r="H83" s="152" t="s">
        <v>106</v>
      </c>
      <c r="I83" s="36"/>
      <c r="J83" s="36">
        <v>71</v>
      </c>
      <c r="K83" s="108">
        <f>MIN(E83,J83*E83/100)</f>
        <v>526.11</v>
      </c>
      <c r="M83" s="106">
        <f ca="1">YIELD(TODAY(),G83,F83,J83,
100,1,1)</f>
        <v>0.3046929982167198</v>
      </c>
      <c r="N83" s="108">
        <f>F83*E83</f>
        <v>61.354799999999997</v>
      </c>
      <c r="O83" s="81" t="s">
        <v>125</v>
      </c>
      <c r="P83" s="81" t="s">
        <v>124</v>
      </c>
      <c r="Q83" s="111" t="s">
        <v>351</v>
      </c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</row>
    <row r="84" spans="1:38" s="81" customFormat="1" ht="12.75" customHeight="1">
      <c r="A84" s="118"/>
      <c r="B84" s="81" t="s">
        <v>108</v>
      </c>
      <c r="C84" s="94" t="s">
        <v>122</v>
      </c>
      <c r="D84" s="180" t="s">
        <v>120</v>
      </c>
      <c r="E84" s="36">
        <v>1242</v>
      </c>
      <c r="F84" s="94">
        <v>7.5200000000000003E-2</v>
      </c>
      <c r="G84" s="129">
        <v>46905</v>
      </c>
      <c r="H84" s="152" t="s">
        <v>106</v>
      </c>
      <c r="J84" s="36">
        <v>72.5</v>
      </c>
      <c r="K84" s="108">
        <f>MIN(E84,J84*E84/100)</f>
        <v>900.45</v>
      </c>
      <c r="M84" s="106">
        <f ca="1">YIELD(TODAY(),G84,F84,J84,
100,1,1)</f>
        <v>0.25592831672929295</v>
      </c>
      <c r="N84" s="108">
        <f>F84*E84</f>
        <v>93.398400000000009</v>
      </c>
      <c r="O84" s="81" t="s">
        <v>125</v>
      </c>
      <c r="P84" s="81" t="s">
        <v>124</v>
      </c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</row>
    <row r="85" spans="1:38" s="81" customFormat="1" ht="12.75" customHeight="1">
      <c r="A85" s="118"/>
      <c r="B85" s="81" t="s">
        <v>109</v>
      </c>
      <c r="C85" s="94" t="s">
        <v>123</v>
      </c>
      <c r="D85" s="180" t="s">
        <v>120</v>
      </c>
      <c r="E85" s="36">
        <v>490</v>
      </c>
      <c r="F85" s="94">
        <v>7.6600000000000001E-2</v>
      </c>
      <c r="G85" s="129">
        <v>46905</v>
      </c>
      <c r="H85" s="152" t="s">
        <v>106</v>
      </c>
      <c r="I85" s="36"/>
      <c r="J85" s="36">
        <v>71.5</v>
      </c>
      <c r="K85" s="108">
        <f>MIN(E85,J85*E85/100)</f>
        <v>350.35</v>
      </c>
      <c r="L85" s="36"/>
      <c r="M85" s="106">
        <f ca="1">YIELD(TODAY(),G85,F85,J85,
100,1,1)</f>
        <v>0.2661977133924866</v>
      </c>
      <c r="N85" s="108">
        <f>F85*E85</f>
        <v>37.533999999999999</v>
      </c>
      <c r="O85" s="81" t="s">
        <v>125</v>
      </c>
      <c r="P85" s="81" t="s">
        <v>124</v>
      </c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</row>
    <row r="86" spans="1:38" s="81" customFormat="1" ht="12.75" customHeight="1">
      <c r="A86" s="118"/>
      <c r="B86" s="81" t="s">
        <v>110</v>
      </c>
      <c r="C86" s="94" t="s">
        <v>122</v>
      </c>
      <c r="D86" s="180" t="s">
        <v>120</v>
      </c>
      <c r="E86" s="36">
        <v>245</v>
      </c>
      <c r="F86" s="94">
        <v>7.5200000000000003E-2</v>
      </c>
      <c r="G86" s="129">
        <v>46905</v>
      </c>
      <c r="H86" s="152" t="s">
        <v>106</v>
      </c>
      <c r="I86" s="36"/>
      <c r="J86" s="36">
        <v>72.5</v>
      </c>
      <c r="K86" s="108">
        <f>MIN(E86,J86*E86/100)</f>
        <v>177.625</v>
      </c>
      <c r="L86" s="36"/>
      <c r="M86" s="106">
        <f ca="1">YIELD(TODAY(),G86,F86,J86,
100,1,1)</f>
        <v>0.25592831672929295</v>
      </c>
      <c r="N86" s="108">
        <f>F86*E86</f>
        <v>18.423999999999999</v>
      </c>
      <c r="O86" s="81" t="s">
        <v>125</v>
      </c>
      <c r="P86" s="81" t="s">
        <v>124</v>
      </c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</row>
    <row r="87" spans="1:38" s="81" customFormat="1" ht="12.75" customHeight="1">
      <c r="A87" s="118"/>
      <c r="B87" s="81" t="s">
        <v>111</v>
      </c>
      <c r="C87" s="94"/>
      <c r="D87" s="180" t="s">
        <v>120</v>
      </c>
      <c r="E87" s="37">
        <v>1250</v>
      </c>
      <c r="F87" s="94">
        <v>0.12625</v>
      </c>
      <c r="G87" s="129">
        <v>47300</v>
      </c>
      <c r="H87" s="152" t="s">
        <v>104</v>
      </c>
      <c r="I87" s="37"/>
      <c r="J87" s="36">
        <v>87.5</v>
      </c>
      <c r="K87" s="95">
        <f>MIN(E87,J87*E87/100)</f>
        <v>1093.75</v>
      </c>
      <c r="L87" s="37"/>
      <c r="M87" s="106">
        <f ca="1">YIELD(TODAY(),G87,F87,J87,
100,1,1)</f>
        <v>0.17965493641702562</v>
      </c>
      <c r="N87" s="95">
        <f>F87*E87</f>
        <v>157.8125</v>
      </c>
      <c r="O87" s="81" t="s">
        <v>125</v>
      </c>
      <c r="P87" s="81" t="s">
        <v>124</v>
      </c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</row>
    <row r="88" spans="1:38" s="1" customFormat="1" ht="12.75" customHeight="1">
      <c r="A88" s="10"/>
      <c r="B88" s="1" t="s">
        <v>112</v>
      </c>
      <c r="D88" s="178"/>
      <c r="E88" s="91">
        <f>SUM(E83:E87)</f>
        <v>3968</v>
      </c>
      <c r="G88" s="93"/>
      <c r="H88" s="152"/>
      <c r="I88" s="91" t="s">
        <v>98</v>
      </c>
      <c r="J88" s="222"/>
      <c r="K88" s="91">
        <f>SUM(K83:K87)</f>
        <v>3048.2849999999999</v>
      </c>
      <c r="L88" s="91" t="s">
        <v>98</v>
      </c>
      <c r="M88" s="107"/>
      <c r="N88" s="91">
        <f>SUM(N83:N87)</f>
        <v>368.52369999999996</v>
      </c>
      <c r="O88" s="116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 spans="1:38" s="81" customFormat="1" ht="12.75" customHeight="1">
      <c r="A89" s="118"/>
      <c r="C89" s="94"/>
      <c r="D89" s="152"/>
      <c r="E89" s="36"/>
      <c r="F89" s="94"/>
      <c r="G89" s="129"/>
      <c r="H89" s="152"/>
      <c r="I89" s="36"/>
      <c r="J89" s="36"/>
      <c r="K89" s="108"/>
      <c r="L89" s="36"/>
      <c r="M89" s="106"/>
      <c r="N89" s="108"/>
      <c r="P89" s="2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</row>
    <row r="90" spans="1:38" ht="12.75" customHeight="1">
      <c r="A90" s="9"/>
      <c r="B90" s="163" t="s">
        <v>127</v>
      </c>
      <c r="C90" s="94"/>
      <c r="D90" s="180" t="s">
        <v>120</v>
      </c>
      <c r="E90" s="191">
        <f>IF($C$6&gt;$J$6,0,271)</f>
        <v>271</v>
      </c>
      <c r="F90" s="94">
        <v>0.08</v>
      </c>
      <c r="G90" s="129">
        <v>47300</v>
      </c>
      <c r="H90" s="152" t="s">
        <v>104</v>
      </c>
      <c r="I90" s="91" t="s">
        <v>98</v>
      </c>
      <c r="J90" s="36">
        <v>90</v>
      </c>
      <c r="K90" s="108">
        <f>MIN(E90,J90*E90/100)</f>
        <v>243.9</v>
      </c>
      <c r="L90" s="91" t="s">
        <v>98</v>
      </c>
      <c r="M90" s="106">
        <f ca="1">YIELD(TODAY(),G90,F90,J90,
100,1,1)</f>
        <v>0.11867964527681568</v>
      </c>
      <c r="N90" s="108">
        <f>F90*E90</f>
        <v>21.68</v>
      </c>
      <c r="O90" s="81" t="s">
        <v>361</v>
      </c>
      <c r="P90" s="81" t="s">
        <v>124</v>
      </c>
      <c r="Q90" s="81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spans="1:38" ht="12.75" customHeight="1">
      <c r="A91" s="9"/>
      <c r="B91" s="163"/>
      <c r="C91" s="94"/>
      <c r="D91" s="180"/>
      <c r="E91" s="36"/>
      <c r="F91" s="94"/>
      <c r="G91" s="129"/>
      <c r="H91" s="152"/>
      <c r="I91" s="81"/>
      <c r="J91" s="36"/>
      <c r="K91" s="108"/>
      <c r="M91" s="106"/>
      <c r="N91" s="108"/>
      <c r="O91" s="81"/>
      <c r="Q91" s="81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s="81" customFormat="1" ht="12.75" customHeight="1">
      <c r="A92" s="118"/>
      <c r="B92" s="81" t="s">
        <v>113</v>
      </c>
      <c r="C92" s="181"/>
      <c r="D92" s="182" t="s">
        <v>120</v>
      </c>
      <c r="E92" s="191">
        <f>IF($C$6&gt;$J$7,0,425)</f>
        <v>425</v>
      </c>
      <c r="F92" s="181">
        <v>5.5E-2</v>
      </c>
      <c r="G92" s="129">
        <v>47757</v>
      </c>
      <c r="H92" s="152" t="s">
        <v>104</v>
      </c>
      <c r="I92" s="36"/>
      <c r="J92" s="36">
        <v>55</v>
      </c>
      <c r="K92" s="108">
        <f>MIN(E92,J92*E92/100)</f>
        <v>233.75</v>
      </c>
      <c r="L92" s="36"/>
      <c r="M92" s="183">
        <f ca="1">YIELD(TODAY(),G92,F92,J92,
100,1,1)</f>
        <v>0.22328553314041877</v>
      </c>
      <c r="N92" s="108">
        <f>F92*E92</f>
        <v>23.375</v>
      </c>
      <c r="O92" s="81" t="s">
        <v>126</v>
      </c>
      <c r="P92" s="81" t="s">
        <v>128</v>
      </c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</row>
    <row r="93" spans="1:38" s="1" customFormat="1" ht="12.75" customHeight="1">
      <c r="A93" s="10"/>
      <c r="B93" s="81" t="s">
        <v>114</v>
      </c>
      <c r="C93" s="94"/>
      <c r="D93" s="180" t="s">
        <v>120</v>
      </c>
      <c r="E93" s="36">
        <v>200</v>
      </c>
      <c r="F93" s="94">
        <v>4.6249999999999999E-2</v>
      </c>
      <c r="G93" s="129">
        <v>46357</v>
      </c>
      <c r="H93" s="152" t="s">
        <v>104</v>
      </c>
      <c r="I93" s="36"/>
      <c r="J93" s="36">
        <v>87</v>
      </c>
      <c r="K93" s="108">
        <f>MIN(E93,J93*E93/100)</f>
        <v>174</v>
      </c>
      <c r="L93" s="36"/>
      <c r="M93" s="106">
        <f ca="1">YIELD(TODAY(),G93,F93,J93,
100,1,1)</f>
        <v>0.27629235544077141</v>
      </c>
      <c r="N93" s="108">
        <f>F93*E93</f>
        <v>9.25</v>
      </c>
      <c r="O93" s="81" t="s">
        <v>126</v>
      </c>
      <c r="P93" s="81" t="s">
        <v>128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spans="1:38" s="1" customFormat="1" ht="12.75" customHeight="1">
      <c r="A94" s="10"/>
      <c r="B94" s="81" t="s">
        <v>115</v>
      </c>
      <c r="C94" s="94"/>
      <c r="D94" s="180" t="s">
        <v>120</v>
      </c>
      <c r="E94" s="36">
        <v>1000</v>
      </c>
      <c r="F94" s="94">
        <v>0.05</v>
      </c>
      <c r="G94" s="129">
        <v>47453</v>
      </c>
      <c r="H94" s="152" t="s">
        <v>104</v>
      </c>
      <c r="I94" s="36"/>
      <c r="J94" s="36">
        <v>40.5</v>
      </c>
      <c r="K94" s="108">
        <f>MIN(E94,J94*E94/100)</f>
        <v>405</v>
      </c>
      <c r="L94" s="36"/>
      <c r="M94" s="106">
        <f ca="1">YIELD(TODAY(),G94,F94,J94,
100,1,1)</f>
        <v>0.37212233740661516</v>
      </c>
      <c r="N94" s="108">
        <f>F94*E94</f>
        <v>50</v>
      </c>
      <c r="O94" s="81" t="s">
        <v>126</v>
      </c>
      <c r="P94" s="81" t="s">
        <v>128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spans="1:38" s="81" customFormat="1" ht="12.75" customHeight="1">
      <c r="A95" s="118"/>
      <c r="B95" s="81" t="s">
        <v>116</v>
      </c>
      <c r="C95" s="94"/>
      <c r="D95" s="180" t="s">
        <v>120</v>
      </c>
      <c r="E95" s="37">
        <v>6</v>
      </c>
      <c r="F95" s="94">
        <v>9.0200000000000002E-2</v>
      </c>
      <c r="G95" s="129">
        <v>60419</v>
      </c>
      <c r="H95" s="152" t="s">
        <v>104</v>
      </c>
      <c r="I95" s="37"/>
      <c r="J95" s="36" t="s">
        <v>98</v>
      </c>
      <c r="K95" s="95" t="s">
        <v>98</v>
      </c>
      <c r="L95" s="37"/>
      <c r="M95" s="177" t="s">
        <v>98</v>
      </c>
      <c r="N95" s="95">
        <f>F95*E95</f>
        <v>0.54120000000000001</v>
      </c>
      <c r="O95" s="81" t="s">
        <v>126</v>
      </c>
      <c r="P95" s="81" t="s">
        <v>128</v>
      </c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</row>
    <row r="96" spans="1:38" s="1" customFormat="1" ht="12.75" customHeight="1">
      <c r="A96" s="10"/>
      <c r="B96" s="1" t="s">
        <v>117</v>
      </c>
      <c r="D96" s="152"/>
      <c r="E96" s="91">
        <f>SUM(E92:E95)</f>
        <v>1631</v>
      </c>
      <c r="G96" s="93"/>
      <c r="H96" s="152"/>
      <c r="I96" s="91" t="s">
        <v>98</v>
      </c>
      <c r="J96" s="24"/>
      <c r="K96" s="91">
        <f>SUM(K92:K95)</f>
        <v>812.75</v>
      </c>
      <c r="L96" s="91" t="s">
        <v>98</v>
      </c>
      <c r="M96" s="107"/>
      <c r="N96" s="91">
        <f>SUM(N92:N95)</f>
        <v>83.166200000000003</v>
      </c>
      <c r="O96" s="116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spans="1:38" s="1" customFormat="1" ht="12.75" customHeight="1">
      <c r="A97" s="10"/>
      <c r="D97" s="152"/>
      <c r="E97" s="91"/>
      <c r="G97" s="93"/>
      <c r="H97" s="152"/>
      <c r="I97" s="91"/>
      <c r="J97" s="24"/>
      <c r="K97" s="91"/>
      <c r="L97" s="91"/>
      <c r="M97" s="107"/>
      <c r="N97" s="91"/>
      <c r="O97" s="116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 spans="1:38" ht="12.75" customHeight="1">
      <c r="A98" s="9"/>
      <c r="B98" s="1" t="s">
        <v>367</v>
      </c>
      <c r="C98" s="88"/>
      <c r="D98" s="152"/>
      <c r="E98" s="91">
        <f>E96+E88+E90</f>
        <v>5870</v>
      </c>
      <c r="F98" s="1"/>
      <c r="G98" s="93"/>
      <c r="H98" s="152"/>
      <c r="I98" s="91"/>
      <c r="J98" s="24"/>
      <c r="K98" s="91">
        <f>K96+K88+K90</f>
        <v>4104.9349999999995</v>
      </c>
      <c r="L98" s="91"/>
      <c r="M98" s="107"/>
      <c r="N98" s="91">
        <f>N96+N88+N90</f>
        <v>473.36989999999997</v>
      </c>
      <c r="O98" s="116"/>
      <c r="P98" s="1"/>
      <c r="Q98" s="111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ht="12.75" customHeight="1">
      <c r="A99" s="9"/>
      <c r="B99" s="81" t="s">
        <v>118</v>
      </c>
      <c r="C99" s="88"/>
      <c r="D99" s="152"/>
      <c r="E99" s="36">
        <f>78+54-231-50</f>
        <v>-149</v>
      </c>
      <c r="F99" s="1"/>
      <c r="G99" s="201" t="s">
        <v>164</v>
      </c>
      <c r="H99" s="192"/>
      <c r="I99" s="193"/>
      <c r="J99" s="24"/>
      <c r="K99" s="91"/>
      <c r="L99" s="91"/>
      <c r="M99" s="107"/>
      <c r="N99" s="91"/>
      <c r="O99" s="116"/>
      <c r="P99" s="1"/>
      <c r="Q99" s="111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spans="1:38" ht="12.75" customHeight="1">
      <c r="A100" s="9"/>
      <c r="B100" s="81"/>
      <c r="C100" s="88"/>
      <c r="D100" s="152"/>
      <c r="E100" s="36"/>
      <c r="F100" s="1"/>
      <c r="G100" s="194" t="s">
        <v>166</v>
      </c>
      <c r="H100" s="152"/>
      <c r="I100" s="197">
        <f>-E103</f>
        <v>565</v>
      </c>
      <c r="J100" s="1"/>
      <c r="K100" s="91"/>
      <c r="L100" s="91"/>
      <c r="M100" s="107"/>
      <c r="N100" s="91"/>
      <c r="O100" s="116"/>
      <c r="P100" s="1"/>
      <c r="Q100" s="111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spans="1:38" ht="12.75" customHeight="1" thickBot="1">
      <c r="A101" s="9"/>
      <c r="B101" s="1" t="s">
        <v>352</v>
      </c>
      <c r="C101" s="88"/>
      <c r="D101" s="152"/>
      <c r="E101" s="164">
        <f>E98+E99</f>
        <v>5721</v>
      </c>
      <c r="F101" s="170"/>
      <c r="G101" s="194" t="s">
        <v>165</v>
      </c>
      <c r="H101" s="152"/>
      <c r="I101" s="195"/>
      <c r="J101" s="88"/>
      <c r="K101" s="91"/>
      <c r="L101" s="91"/>
      <c r="M101" s="107"/>
      <c r="N101" s="91"/>
      <c r="O101" s="116"/>
      <c r="P101" s="1"/>
      <c r="Q101" s="111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spans="1:38" s="81" customFormat="1" ht="12.75" customHeight="1" thickTop="1">
      <c r="A102" s="118"/>
      <c r="B102" s="81" t="s">
        <v>134</v>
      </c>
      <c r="C102" s="88"/>
      <c r="D102" s="152"/>
      <c r="E102" s="108">
        <f>C12</f>
        <v>300</v>
      </c>
      <c r="F102" s="170"/>
      <c r="G102" s="194" t="s">
        <v>297</v>
      </c>
      <c r="H102" s="152"/>
      <c r="I102" s="196">
        <v>1665</v>
      </c>
      <c r="J102" s="1"/>
      <c r="K102" s="108"/>
      <c r="L102" s="108"/>
      <c r="M102" s="88"/>
      <c r="N102" s="108"/>
      <c r="O102" s="170"/>
      <c r="Q102" s="111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</row>
    <row r="103" spans="1:38" s="1" customFormat="1" ht="12.75" customHeight="1">
      <c r="A103" s="10"/>
      <c r="B103" s="81" t="s">
        <v>130</v>
      </c>
      <c r="C103" s="81"/>
      <c r="D103" s="152"/>
      <c r="E103" s="37">
        <f>-Financials!AX7</f>
        <v>-565</v>
      </c>
      <c r="F103" s="92"/>
      <c r="G103" s="194" t="s">
        <v>167</v>
      </c>
      <c r="H103" s="152"/>
      <c r="I103" s="196">
        <f>-681+200</f>
        <v>-481</v>
      </c>
      <c r="K103" s="223"/>
      <c r="L103" s="116"/>
      <c r="N103" s="92"/>
      <c r="O103" s="116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spans="1:38" s="1" customFormat="1" ht="12.75" customHeight="1">
      <c r="A104" s="10"/>
      <c r="B104" s="1" t="s">
        <v>87</v>
      </c>
      <c r="D104" s="152"/>
      <c r="E104" s="92">
        <f>SUM(E101:E103)</f>
        <v>5456</v>
      </c>
      <c r="G104" s="194" t="s">
        <v>168</v>
      </c>
      <c r="H104" s="152"/>
      <c r="I104" s="198">
        <f>-E83</f>
        <v>-741</v>
      </c>
      <c r="J104" s="91"/>
      <c r="K104" s="92"/>
      <c r="L104" s="116"/>
      <c r="N104" s="92"/>
      <c r="O104" s="116"/>
      <c r="Q104" s="179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 spans="1:38" s="1" customFormat="1" ht="12.75" customHeight="1">
      <c r="A105" s="10"/>
      <c r="B105" s="1" t="s">
        <v>85</v>
      </c>
      <c r="D105" s="152"/>
      <c r="E105" s="160">
        <f>C10</f>
        <v>1483.7132205</v>
      </c>
      <c r="G105" s="194" t="s">
        <v>165</v>
      </c>
      <c r="H105" s="152"/>
      <c r="I105" s="198">
        <f>SUM(I102:I104)</f>
        <v>443</v>
      </c>
      <c r="K105" s="108"/>
      <c r="L105" s="108"/>
      <c r="O105" s="116"/>
      <c r="Q105" s="179"/>
      <c r="R105" s="2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 spans="1:38" s="1" customFormat="1" ht="12.75" customHeight="1">
      <c r="A106" s="10"/>
      <c r="B106" s="1" t="s">
        <v>83</v>
      </c>
      <c r="D106" s="152"/>
      <c r="E106" s="91">
        <f>E105+E104</f>
        <v>6939.7132204999998</v>
      </c>
      <c r="G106" s="233" t="s">
        <v>360</v>
      </c>
      <c r="H106" s="152"/>
      <c r="I106" s="195">
        <f>I105+I100</f>
        <v>1008</v>
      </c>
      <c r="J106" s="91"/>
      <c r="K106" s="91"/>
      <c r="L106" s="91"/>
      <c r="N106" s="92"/>
      <c r="O106" s="116"/>
      <c r="Q106" s="179"/>
      <c r="R106" s="2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 spans="1:38" ht="12.75" customHeight="1">
      <c r="A107" s="9"/>
      <c r="D107" s="152"/>
      <c r="G107" s="194"/>
      <c r="I107" s="195"/>
      <c r="J107" s="1"/>
      <c r="L107" s="117"/>
      <c r="O107" s="117"/>
      <c r="Q107" s="17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spans="1:38" ht="12.75" customHeight="1">
      <c r="D108" s="152"/>
      <c r="G108" s="202"/>
      <c r="H108" s="199"/>
      <c r="I108" s="200"/>
      <c r="Q108" s="179"/>
    </row>
    <row r="109" spans="1:38" ht="12.75" customHeight="1">
      <c r="Q109" s="179"/>
    </row>
    <row r="110" spans="1:38" ht="12.75" customHeight="1">
      <c r="B110" s="81"/>
    </row>
    <row r="111" spans="1:38" ht="12.75" customHeight="1">
      <c r="B111" s="81"/>
    </row>
    <row r="112" spans="1:38" ht="12.75" customHeight="1">
      <c r="B112" s="81"/>
    </row>
    <row r="113" spans="2:12" ht="12.75" customHeight="1">
      <c r="B113" s="81"/>
    </row>
    <row r="114" spans="2:12" ht="12.75" customHeight="1">
      <c r="B114" s="81"/>
    </row>
    <row r="115" spans="2:12" ht="12.75" customHeight="1">
      <c r="B115" s="81"/>
      <c r="H115" s="36"/>
      <c r="I115" s="108"/>
      <c r="K115" s="106"/>
      <c r="L115" s="108"/>
    </row>
    <row r="116" spans="2:12" ht="12.75" customHeight="1">
      <c r="B116" s="81"/>
    </row>
    <row r="117" spans="2:12" ht="12.75" customHeight="1">
      <c r="B117" s="81"/>
    </row>
    <row r="118" spans="2:12" ht="12.75" customHeight="1">
      <c r="B118" s="81"/>
    </row>
    <row r="119" spans="2:12" ht="12.75" customHeight="1">
      <c r="B119" s="81"/>
    </row>
    <row r="120" spans="2:12" ht="12.75" customHeight="1">
      <c r="B120" s="81"/>
    </row>
    <row r="121" spans="2:12" ht="12.75" customHeight="1">
      <c r="B121" s="81"/>
    </row>
    <row r="122" spans="2:12" ht="12.75" customHeight="1">
      <c r="B122" s="118"/>
      <c r="C122" s="9"/>
      <c r="D122" s="9"/>
      <c r="E122" s="9"/>
      <c r="F122" s="9"/>
    </row>
    <row r="123" spans="2:12" ht="12.75" customHeight="1">
      <c r="B123" s="118"/>
      <c r="C123" s="9"/>
      <c r="D123" s="9"/>
      <c r="E123" s="9"/>
      <c r="F123" s="9"/>
    </row>
    <row r="124" spans="2:12" ht="12.75" customHeight="1">
      <c r="B124" s="81"/>
    </row>
    <row r="125" spans="2:12" ht="12.75" customHeight="1">
      <c r="B125" s="81"/>
    </row>
    <row r="126" spans="2:12" ht="12.75" customHeight="1">
      <c r="B126" s="81"/>
    </row>
    <row r="127" spans="2:12" ht="12.75" customHeight="1">
      <c r="B127" s="81"/>
    </row>
    <row r="128" spans="2:12" ht="12.75" customHeight="1">
      <c r="B128" s="81"/>
    </row>
    <row r="129" spans="2:6" ht="12.75" customHeight="1">
      <c r="B129" s="81"/>
    </row>
    <row r="130" spans="2:6" ht="12.75" customHeight="1">
      <c r="B130" s="81"/>
    </row>
    <row r="131" spans="2:6" ht="12.75" customHeight="1">
      <c r="B131" s="81"/>
    </row>
    <row r="132" spans="2:6" ht="12.75" customHeight="1">
      <c r="B132" s="81"/>
    </row>
    <row r="133" spans="2:6" ht="12.75" customHeight="1">
      <c r="B133" s="81"/>
    </row>
    <row r="134" spans="2:6" ht="12.75" customHeight="1">
      <c r="B134" s="81"/>
    </row>
    <row r="135" spans="2:6" ht="12.75" customHeight="1">
      <c r="B135" s="81"/>
    </row>
    <row r="136" spans="2:6" ht="12.75" customHeight="1">
      <c r="B136" s="81"/>
    </row>
    <row r="137" spans="2:6" ht="12.75" customHeight="1">
      <c r="B137" s="81"/>
    </row>
    <row r="138" spans="2:6" ht="12.75" customHeight="1">
      <c r="B138" s="81"/>
    </row>
    <row r="139" spans="2:6" ht="12.75" customHeight="1">
      <c r="B139" s="81"/>
    </row>
    <row r="140" spans="2:6" ht="12.75" customHeight="1">
      <c r="B140" s="81"/>
    </row>
    <row r="141" spans="2:6" ht="12.75" customHeight="1">
      <c r="B141" s="81"/>
    </row>
    <row r="142" spans="2:6" ht="12.75" customHeight="1">
      <c r="B142" s="118"/>
      <c r="C142" s="9"/>
      <c r="D142" s="9"/>
      <c r="E142" s="9"/>
      <c r="F142" s="9"/>
    </row>
    <row r="143" spans="2:6" ht="12.75" customHeight="1">
      <c r="B143" s="118"/>
      <c r="C143" s="9"/>
      <c r="D143" s="9"/>
      <c r="E143" s="9"/>
      <c r="F143" s="9"/>
    </row>
    <row r="144" spans="2:6" ht="12.75" customHeight="1">
      <c r="B144" s="118"/>
      <c r="C144" s="9"/>
      <c r="D144" s="9"/>
      <c r="E144" s="9"/>
      <c r="F144" s="9"/>
    </row>
    <row r="145" spans="2:6" ht="12.75" customHeight="1">
      <c r="B145" s="118"/>
      <c r="C145" s="9"/>
      <c r="D145" s="9"/>
      <c r="E145" s="9"/>
      <c r="F145" s="9"/>
    </row>
    <row r="146" spans="2:6" ht="12.75" customHeight="1">
      <c r="B146" s="9"/>
      <c r="C146" s="9"/>
      <c r="D146" s="9"/>
      <c r="E146" s="9"/>
      <c r="F146" s="9"/>
    </row>
    <row r="147" spans="2:6" ht="12.75" customHeight="1">
      <c r="B147" s="9"/>
      <c r="C147" s="9"/>
      <c r="D147" s="9"/>
      <c r="E147" s="9"/>
      <c r="F147" s="9"/>
    </row>
    <row r="148" spans="2:6" ht="12.75" customHeight="1">
      <c r="B148" s="9"/>
      <c r="C148" s="9"/>
      <c r="D148" s="9"/>
      <c r="E148" s="9"/>
      <c r="F148" s="9"/>
    </row>
    <row r="149" spans="2:6" ht="12.75" customHeight="1">
      <c r="B149" s="9"/>
      <c r="C149" s="9"/>
      <c r="D149" s="9"/>
      <c r="E149" s="9"/>
      <c r="F149" s="9"/>
    </row>
    <row r="150" spans="2:6" ht="12.75" customHeight="1">
      <c r="B150" s="9"/>
      <c r="C150" s="9"/>
      <c r="D150" s="9"/>
      <c r="E150" s="9"/>
      <c r="F150" s="9"/>
    </row>
    <row r="151" spans="2:6" ht="12.75" customHeight="1">
      <c r="B151" s="9"/>
      <c r="C151" s="9"/>
      <c r="D151" s="9"/>
      <c r="E151" s="9"/>
      <c r="F151" s="9"/>
    </row>
    <row r="152" spans="2:6" ht="12.75" customHeight="1">
      <c r="B152" s="9"/>
      <c r="C152" s="9"/>
      <c r="D152" s="9"/>
      <c r="E152" s="9"/>
      <c r="F152" s="9"/>
    </row>
    <row r="153" spans="2:6" ht="12.75" customHeight="1">
      <c r="B153" s="9"/>
      <c r="C153" s="9"/>
      <c r="D153" s="9"/>
      <c r="E153" s="9"/>
      <c r="F153" s="9"/>
    </row>
    <row r="154" spans="2:6" ht="12.75" customHeight="1">
      <c r="B154" s="9"/>
      <c r="C154" s="9"/>
      <c r="D154" s="9"/>
      <c r="E154" s="9"/>
      <c r="F154" s="9"/>
    </row>
    <row r="155" spans="2:6" ht="12.75" customHeight="1">
      <c r="B155" s="9"/>
      <c r="C155" s="9"/>
      <c r="D155" s="9"/>
      <c r="E155" s="9"/>
      <c r="F155" s="9"/>
    </row>
    <row r="156" spans="2:6" ht="12.75" customHeight="1">
      <c r="B156" s="9"/>
      <c r="C156" s="9"/>
      <c r="D156" s="9"/>
      <c r="E156" s="9"/>
      <c r="F156" s="9"/>
    </row>
    <row r="157" spans="2:6" ht="12.75" customHeight="1">
      <c r="B157" s="9"/>
      <c r="C157" s="9"/>
      <c r="D157" s="9"/>
      <c r="E157" s="9"/>
      <c r="F157" s="9"/>
    </row>
    <row r="158" spans="2:6" ht="12.75" customHeight="1">
      <c r="B158" s="9"/>
      <c r="C158" s="9"/>
      <c r="D158" s="9"/>
      <c r="E158" s="9"/>
      <c r="F158" s="9"/>
    </row>
    <row r="159" spans="2:6" ht="12.75" customHeight="1">
      <c r="B159" s="9"/>
      <c r="C159" s="9"/>
      <c r="D159" s="9"/>
      <c r="E159" s="9"/>
      <c r="F159" s="9"/>
    </row>
    <row r="160" spans="2:6" ht="12.75" customHeight="1">
      <c r="B160" s="9"/>
      <c r="C160" s="9"/>
      <c r="D160" s="9"/>
      <c r="E160" s="9"/>
      <c r="F160" s="9"/>
    </row>
    <row r="161" spans="2:6" ht="12.75" customHeight="1">
      <c r="B161" s="9"/>
      <c r="C161" s="9"/>
      <c r="D161" s="9"/>
      <c r="E161" s="9"/>
      <c r="F161" s="9"/>
    </row>
    <row r="162" spans="2:6" ht="12.75" customHeight="1">
      <c r="B162" s="9"/>
      <c r="C162" s="9"/>
      <c r="D162" s="9"/>
      <c r="E162" s="9"/>
      <c r="F162" s="9"/>
    </row>
    <row r="163" spans="2:6" ht="12.75" customHeight="1">
      <c r="B163" s="9"/>
      <c r="C163" s="9"/>
      <c r="D163" s="9"/>
      <c r="E163" s="9"/>
      <c r="F163" s="9"/>
    </row>
    <row r="164" spans="2:6" ht="12.75" customHeight="1">
      <c r="B164" s="9"/>
      <c r="C164" s="9"/>
      <c r="D164" s="9"/>
      <c r="E164" s="9"/>
      <c r="F164" s="9"/>
    </row>
    <row r="165" spans="2:6" ht="12.75" customHeight="1">
      <c r="B165" s="9"/>
      <c r="C165" s="9"/>
      <c r="D165" s="9"/>
      <c r="E165" s="9"/>
      <c r="F165" s="9"/>
    </row>
    <row r="166" spans="2:6" ht="12.75" customHeight="1">
      <c r="B166" s="9"/>
      <c r="C166" s="9"/>
      <c r="D166" s="9"/>
      <c r="E166" s="9"/>
      <c r="F166" s="9"/>
    </row>
    <row r="167" spans="2:6" ht="12.75" customHeight="1">
      <c r="B167" s="10"/>
      <c r="C167" s="10"/>
      <c r="D167" s="10"/>
      <c r="E167" s="10"/>
      <c r="F167" s="10"/>
    </row>
    <row r="168" spans="2:6" ht="12.75" customHeight="1">
      <c r="B168" s="10"/>
      <c r="C168" s="10"/>
      <c r="D168" s="10"/>
      <c r="E168" s="10"/>
      <c r="F168" s="10"/>
    </row>
    <row r="169" spans="2:6" ht="12.75" customHeight="1">
      <c r="B169" s="10"/>
      <c r="C169" s="10"/>
      <c r="D169" s="10"/>
      <c r="E169" s="10"/>
      <c r="F169" s="10"/>
    </row>
    <row r="170" spans="2:6" ht="12.75" customHeight="1">
      <c r="B170" s="9"/>
      <c r="C170" s="9"/>
      <c r="D170" s="9"/>
      <c r="E170" s="9"/>
      <c r="F170" s="9"/>
    </row>
    <row r="171" spans="2:6" ht="12.75" customHeight="1">
      <c r="B171" s="10"/>
      <c r="C171" s="10"/>
      <c r="D171" s="10"/>
      <c r="E171" s="10"/>
      <c r="F171" s="10"/>
    </row>
    <row r="172" spans="2:6" ht="12.75" customHeight="1">
      <c r="B172" s="10"/>
      <c r="C172" s="10"/>
      <c r="D172" s="10"/>
      <c r="E172" s="10"/>
      <c r="F172" s="10"/>
    </row>
    <row r="173" spans="2:6" ht="12.75" customHeight="1">
      <c r="B173" s="9"/>
      <c r="C173" s="9"/>
      <c r="D173" s="9"/>
      <c r="E173" s="9"/>
      <c r="F173" s="9"/>
    </row>
    <row r="174" spans="2:6" ht="12.75" customHeight="1">
      <c r="B174" s="9"/>
      <c r="C174" s="9"/>
      <c r="D174" s="9"/>
      <c r="E174" s="9"/>
      <c r="F174" s="9"/>
    </row>
    <row r="175" spans="2:6" ht="12.75" customHeight="1">
      <c r="B175" s="9"/>
      <c r="C175" s="9"/>
      <c r="D175" s="9"/>
      <c r="E175" s="9"/>
      <c r="F175" s="9"/>
    </row>
    <row r="176" spans="2:6" ht="12.75" customHeight="1">
      <c r="B176" s="9"/>
      <c r="C176" s="9"/>
      <c r="D176" s="9"/>
      <c r="E176" s="9"/>
      <c r="F176" s="9"/>
    </row>
    <row r="177" spans="2:6" ht="12.75" customHeight="1">
      <c r="B177" s="9"/>
      <c r="C177" s="9"/>
      <c r="D177" s="9"/>
      <c r="E177" s="9"/>
      <c r="F177" s="9"/>
    </row>
    <row r="178" spans="2:6" ht="12.75" customHeight="1">
      <c r="B178" s="9"/>
      <c r="C178" s="9"/>
      <c r="D178" s="9"/>
      <c r="E178" s="9"/>
      <c r="F178" s="9"/>
    </row>
    <row r="179" spans="2:6" ht="12.75" customHeight="1">
      <c r="B179" s="9"/>
      <c r="C179" s="9"/>
      <c r="D179" s="9"/>
      <c r="E179" s="9"/>
      <c r="F179" s="9"/>
    </row>
    <row r="180" spans="2:6" ht="12.75" customHeight="1">
      <c r="B180" s="9"/>
      <c r="C180" s="9"/>
      <c r="D180" s="9"/>
      <c r="E180" s="9"/>
      <c r="F180" s="9"/>
    </row>
    <row r="181" spans="2:6" ht="12.75" customHeight="1">
      <c r="B181" s="9"/>
      <c r="C181" s="9"/>
      <c r="D181" s="9"/>
      <c r="E181" s="9"/>
      <c r="F181" s="9"/>
    </row>
    <row r="182" spans="2:6" ht="12.75" customHeight="1">
      <c r="B182" s="9"/>
      <c r="C182" s="9"/>
      <c r="D182" s="9"/>
      <c r="E182" s="9"/>
      <c r="F182" s="9"/>
    </row>
    <row r="183" spans="2:6" ht="12.75" customHeight="1">
      <c r="B183" s="9"/>
      <c r="C183" s="9"/>
      <c r="D183" s="9"/>
      <c r="E183" s="9"/>
      <c r="F183" s="9"/>
    </row>
    <row r="184" spans="2:6" ht="12.75" customHeight="1">
      <c r="B184" s="9"/>
      <c r="C184" s="9"/>
      <c r="D184" s="9"/>
      <c r="E184" s="9"/>
      <c r="F184" s="9"/>
    </row>
    <row r="185" spans="2:6" ht="12.75" customHeight="1">
      <c r="B185" s="9"/>
      <c r="C185" s="9"/>
      <c r="D185" s="9"/>
      <c r="E185" s="9"/>
      <c r="F185" s="9"/>
    </row>
    <row r="186" spans="2:6" ht="12.75" customHeight="1">
      <c r="B186" s="9"/>
      <c r="C186" s="9"/>
      <c r="D186" s="9"/>
      <c r="E186" s="9"/>
      <c r="F186" s="9"/>
    </row>
    <row r="187" spans="2:6" ht="12.75" customHeight="1">
      <c r="B187" s="9"/>
      <c r="C187" s="9"/>
      <c r="D187" s="9"/>
      <c r="E187" s="9"/>
      <c r="F187" s="9"/>
    </row>
    <row r="188" spans="2:6" ht="12.75" customHeight="1">
      <c r="B188" s="9"/>
      <c r="C188" s="9"/>
      <c r="D188" s="9"/>
      <c r="E188" s="9"/>
      <c r="F188" s="9"/>
    </row>
    <row r="189" spans="2:6" ht="12.75" customHeight="1">
      <c r="B189" s="9"/>
      <c r="C189" s="9"/>
      <c r="D189" s="9"/>
      <c r="E189" s="9"/>
      <c r="F189" s="9"/>
    </row>
    <row r="190" spans="2:6" ht="12.75" customHeight="1">
      <c r="B190" s="9"/>
      <c r="C190" s="9"/>
      <c r="D190" s="9"/>
      <c r="E190" s="9"/>
      <c r="F190" s="9"/>
    </row>
    <row r="191" spans="2:6" ht="12.75" customHeight="1">
      <c r="B191" s="9"/>
      <c r="C191" s="9"/>
      <c r="D191" s="9"/>
      <c r="E191" s="9"/>
      <c r="F191" s="9"/>
    </row>
    <row r="192" spans="2:6" ht="12.75" customHeight="1">
      <c r="B192" s="9"/>
      <c r="C192" s="9"/>
      <c r="D192" s="9"/>
      <c r="E192" s="9"/>
      <c r="F192" s="9"/>
    </row>
    <row r="193" spans="2:6" ht="12.75" customHeight="1">
      <c r="B193" s="9"/>
      <c r="C193" s="9"/>
      <c r="D193" s="9"/>
      <c r="E193" s="9"/>
      <c r="F193" s="9"/>
    </row>
    <row r="194" spans="2:6" ht="12.75" customHeight="1">
      <c r="B194" s="9"/>
      <c r="C194" s="9"/>
      <c r="D194" s="9"/>
      <c r="E194" s="9"/>
      <c r="F194" s="9"/>
    </row>
    <row r="195" spans="2:6" ht="12.75" customHeight="1">
      <c r="B195" s="9"/>
      <c r="C195" s="9"/>
      <c r="D195" s="9"/>
      <c r="E195" s="9"/>
      <c r="F195" s="9"/>
    </row>
    <row r="196" spans="2:6" ht="12.75" customHeight="1">
      <c r="B196" s="9"/>
      <c r="C196" s="9"/>
      <c r="D196" s="9"/>
      <c r="E196" s="9"/>
      <c r="F196" s="9"/>
    </row>
    <row r="197" spans="2:6" ht="12.75" customHeight="1">
      <c r="B197" s="9"/>
      <c r="C197" s="9"/>
      <c r="D197" s="9"/>
      <c r="E197" s="9"/>
      <c r="F197" s="9"/>
    </row>
    <row r="198" spans="2:6" ht="12.75" customHeight="1">
      <c r="E198" s="9"/>
      <c r="F198" s="9"/>
    </row>
    <row r="199" spans="2:6" ht="12.75" customHeight="1">
      <c r="E199" s="9"/>
      <c r="F199" s="9"/>
    </row>
    <row r="200" spans="2:6" ht="12.75" customHeight="1">
      <c r="E200" s="9"/>
      <c r="F200" s="9"/>
    </row>
    <row r="201" spans="2:6" ht="12.75" customHeight="1">
      <c r="E201" s="9"/>
      <c r="F201" s="9"/>
    </row>
    <row r="202" spans="2:6" ht="12.75" customHeight="1">
      <c r="B202" s="81"/>
      <c r="C202" s="81"/>
      <c r="D202" s="81"/>
      <c r="E202" s="118"/>
      <c r="F202" s="118"/>
    </row>
    <row r="203" spans="2:6" ht="12.75" customHeight="1">
      <c r="B203" s="81"/>
      <c r="C203" s="81"/>
      <c r="D203" s="81"/>
      <c r="E203" s="118"/>
      <c r="F203" s="118"/>
    </row>
    <row r="204" spans="2:6" ht="12.75" customHeight="1">
      <c r="E204" s="9"/>
      <c r="F204" s="9"/>
    </row>
    <row r="205" spans="2:6" ht="12.75" customHeight="1">
      <c r="E205" s="9"/>
      <c r="F205" s="9"/>
    </row>
    <row r="206" spans="2:6" ht="12.75" customHeight="1">
      <c r="B206" s="81"/>
      <c r="C206" s="81"/>
      <c r="D206" s="81"/>
      <c r="E206" s="118"/>
      <c r="F206" s="118"/>
    </row>
    <row r="207" spans="2:6" ht="12.75" customHeight="1">
      <c r="B207" s="81"/>
      <c r="C207" s="81"/>
      <c r="D207" s="81"/>
      <c r="E207" s="118"/>
      <c r="F207" s="118"/>
    </row>
    <row r="208" spans="2:6" ht="12.75" customHeight="1">
      <c r="B208" s="81"/>
      <c r="C208" s="81"/>
      <c r="D208" s="81"/>
      <c r="E208" s="118"/>
      <c r="F208" s="118"/>
    </row>
    <row r="209" spans="2:6" ht="12.75" customHeight="1">
      <c r="B209" s="81"/>
      <c r="C209" s="81"/>
      <c r="D209" s="81"/>
      <c r="E209" s="118"/>
      <c r="F209" s="118"/>
    </row>
    <row r="210" spans="2:6" ht="12.75" customHeight="1">
      <c r="B210" s="81"/>
      <c r="C210" s="81"/>
      <c r="D210" s="81"/>
      <c r="E210" s="118"/>
      <c r="F210" s="118"/>
    </row>
    <row r="211" spans="2:6" ht="12.75" customHeight="1">
      <c r="B211" s="81"/>
      <c r="C211" s="81"/>
      <c r="D211" s="81"/>
      <c r="E211" s="118"/>
      <c r="F211" s="118"/>
    </row>
    <row r="212" spans="2:6" ht="12.75" customHeight="1">
      <c r="B212" s="81"/>
      <c r="C212" s="81"/>
      <c r="D212" s="81"/>
      <c r="E212" s="118"/>
      <c r="F212" s="118"/>
    </row>
    <row r="213" spans="2:6" ht="12.75" customHeight="1">
      <c r="B213" s="81"/>
      <c r="C213" s="81"/>
      <c r="D213" s="81"/>
      <c r="E213" s="118"/>
      <c r="F213" s="118"/>
    </row>
    <row r="214" spans="2:6" ht="12.75" customHeight="1">
      <c r="B214" s="81"/>
      <c r="C214" s="81"/>
      <c r="D214" s="81"/>
      <c r="E214" s="118"/>
      <c r="F214" s="118"/>
    </row>
    <row r="215" spans="2:6" ht="12.75" customHeight="1">
      <c r="B215" s="81"/>
      <c r="C215" s="81"/>
      <c r="D215" s="81"/>
      <c r="E215" s="118"/>
      <c r="F215" s="118"/>
    </row>
    <row r="216" spans="2:6" ht="12.75" customHeight="1">
      <c r="B216" s="81"/>
      <c r="C216" s="81"/>
      <c r="D216" s="81"/>
      <c r="E216" s="118"/>
      <c r="F216" s="118"/>
    </row>
    <row r="217" spans="2:6" ht="12.75" customHeight="1">
      <c r="B217" s="81"/>
      <c r="C217" s="81"/>
      <c r="D217" s="81"/>
      <c r="E217" s="118"/>
      <c r="F217" s="118"/>
    </row>
    <row r="218" spans="2:6" ht="12.75" customHeight="1">
      <c r="B218" s="81"/>
      <c r="C218" s="81"/>
      <c r="D218" s="81"/>
      <c r="E218" s="118"/>
      <c r="F218" s="118"/>
    </row>
    <row r="219" spans="2:6" ht="12.75" customHeight="1">
      <c r="E219" s="9"/>
      <c r="F219" s="9"/>
    </row>
    <row r="220" spans="2:6" ht="12.75" customHeight="1">
      <c r="E220" s="9"/>
      <c r="F220" s="9"/>
    </row>
    <row r="221" spans="2:6" ht="12.75" customHeight="1">
      <c r="B221" s="1"/>
      <c r="C221" s="1"/>
      <c r="D221" s="1"/>
      <c r="E221" s="10"/>
      <c r="F221" s="10"/>
    </row>
    <row r="222" spans="2:6" ht="12.75" customHeight="1">
      <c r="E222" s="9"/>
      <c r="F222" s="9"/>
    </row>
    <row r="223" spans="2:6" ht="12.75" customHeight="1">
      <c r="E223" s="9"/>
      <c r="F223" s="9"/>
    </row>
    <row r="224" spans="2:6" ht="12.75" customHeight="1">
      <c r="B224" s="81"/>
      <c r="C224" s="81"/>
      <c r="D224" s="81"/>
      <c r="E224" s="118"/>
      <c r="F224" s="118"/>
    </row>
    <row r="225" spans="2:6" ht="12.75" customHeight="1">
      <c r="B225" s="81"/>
      <c r="C225" s="81"/>
      <c r="D225" s="81"/>
      <c r="E225" s="118"/>
      <c r="F225" s="118"/>
    </row>
    <row r="226" spans="2:6" ht="12.75" customHeight="1">
      <c r="B226" s="81"/>
      <c r="C226" s="81"/>
      <c r="D226" s="81"/>
      <c r="E226" s="118"/>
      <c r="F226" s="118"/>
    </row>
    <row r="227" spans="2:6" ht="12.75" customHeight="1">
      <c r="B227" s="81"/>
      <c r="C227" s="81"/>
      <c r="D227" s="81"/>
      <c r="E227" s="118"/>
      <c r="F227" s="118"/>
    </row>
    <row r="228" spans="2:6" ht="12.75" customHeight="1">
      <c r="B228" s="81"/>
      <c r="C228" s="81"/>
      <c r="D228" s="81"/>
      <c r="E228" s="118"/>
      <c r="F228" s="118"/>
    </row>
    <row r="229" spans="2:6" ht="12.75" customHeight="1">
      <c r="E229" s="9"/>
      <c r="F229" s="9"/>
    </row>
    <row r="230" spans="2:6" ht="12.75" customHeight="1">
      <c r="B230" s="1"/>
      <c r="C230" s="1"/>
      <c r="D230" s="1"/>
      <c r="E230" s="10"/>
      <c r="F230" s="10"/>
    </row>
    <row r="231" spans="2:6" ht="12.75" customHeight="1">
      <c r="E231" s="9"/>
      <c r="F231" s="9"/>
    </row>
    <row r="232" spans="2:6" ht="12.75" customHeight="1">
      <c r="B232" s="1"/>
      <c r="C232" s="1"/>
      <c r="D232" s="1"/>
      <c r="E232" s="10"/>
      <c r="F232" s="10"/>
    </row>
    <row r="233" spans="2:6" ht="12.75" customHeight="1">
      <c r="E233" s="9"/>
      <c r="F233" s="9"/>
    </row>
    <row r="234" spans="2:6" ht="12.75" customHeight="1">
      <c r="E234" s="9"/>
      <c r="F234" s="9"/>
    </row>
    <row r="235" spans="2:6" ht="12.75" customHeight="1">
      <c r="B235" s="81"/>
      <c r="C235" s="81"/>
      <c r="D235" s="81"/>
      <c r="E235" s="118"/>
      <c r="F235" s="118"/>
    </row>
    <row r="236" spans="2:6" ht="12.75" customHeight="1">
      <c r="B236" s="81"/>
      <c r="C236" s="81"/>
      <c r="D236" s="81"/>
      <c r="E236" s="118"/>
      <c r="F236" s="118"/>
    </row>
    <row r="237" spans="2:6" ht="12.75" customHeight="1">
      <c r="B237" s="81"/>
      <c r="C237" s="81"/>
      <c r="D237" s="81"/>
      <c r="E237" s="118"/>
      <c r="F237" s="118"/>
    </row>
    <row r="238" spans="2:6" ht="12.75" customHeight="1">
      <c r="B238" s="81"/>
      <c r="C238" s="81"/>
      <c r="D238" s="81"/>
      <c r="E238" s="118"/>
      <c r="F238" s="118"/>
    </row>
    <row r="239" spans="2:6" ht="12.75" customHeight="1">
      <c r="B239" s="81"/>
      <c r="C239" s="81"/>
      <c r="D239" s="81"/>
      <c r="E239" s="118"/>
      <c r="F239" s="118"/>
    </row>
    <row r="240" spans="2:6" ht="12.75" customHeight="1">
      <c r="B240" s="1"/>
      <c r="C240" s="1"/>
      <c r="D240" s="1"/>
      <c r="E240" s="10"/>
      <c r="F240" s="10"/>
    </row>
    <row r="241" spans="2:6" ht="12.75" customHeight="1">
      <c r="B241" s="81"/>
      <c r="C241" s="81"/>
      <c r="D241" s="81"/>
      <c r="E241" s="118"/>
      <c r="F241" s="118"/>
    </row>
    <row r="242" spans="2:6" ht="12.75" customHeight="1">
      <c r="E242" s="9"/>
      <c r="F242" s="9"/>
    </row>
    <row r="243" spans="2:6" ht="12.75" customHeight="1">
      <c r="E243" s="9"/>
      <c r="F243" s="9"/>
    </row>
    <row r="244" spans="2:6" ht="12.75" customHeight="1">
      <c r="B244" s="81"/>
      <c r="D244" s="81"/>
      <c r="E244" s="118"/>
      <c r="F244" s="118"/>
    </row>
    <row r="245" spans="2:6" ht="12.75" customHeight="1">
      <c r="B245" s="1"/>
      <c r="C245" s="1"/>
      <c r="D245" s="1"/>
      <c r="E245" s="10"/>
      <c r="F245" s="10"/>
    </row>
    <row r="246" spans="2:6" ht="12.75" customHeight="1">
      <c r="B246" s="1"/>
      <c r="C246" s="1"/>
      <c r="D246" s="1"/>
      <c r="E246" s="10"/>
      <c r="F246" s="10"/>
    </row>
    <row r="247" spans="2:6" ht="12.75" customHeight="1">
      <c r="B247" s="81"/>
      <c r="C247" s="81"/>
      <c r="D247" s="81"/>
      <c r="E247" s="118"/>
      <c r="F247" s="118"/>
    </row>
    <row r="248" spans="2:6" ht="12.75" customHeight="1">
      <c r="B248" s="1"/>
      <c r="C248" s="1"/>
      <c r="D248" s="1"/>
      <c r="E248" s="10"/>
      <c r="F248" s="10"/>
    </row>
    <row r="249" spans="2:6" ht="12.75" customHeight="1">
      <c r="B249" s="1"/>
      <c r="C249" s="1"/>
      <c r="D249" s="1"/>
      <c r="E249" s="10"/>
      <c r="F249" s="10"/>
    </row>
    <row r="250" spans="2:6" ht="12.75" customHeight="1">
      <c r="E250" s="9"/>
      <c r="F250" s="9"/>
    </row>
    <row r="251" spans="2:6" ht="12.75" customHeight="1">
      <c r="E251" s="9"/>
      <c r="F251" s="9"/>
    </row>
    <row r="252" spans="2:6" ht="12.75" customHeight="1">
      <c r="E252" s="9"/>
      <c r="F252" s="9"/>
    </row>
    <row r="253" spans="2:6" ht="12.75" customHeight="1">
      <c r="E253" s="9"/>
      <c r="F253" s="9"/>
    </row>
    <row r="254" spans="2:6" ht="12.75" customHeight="1">
      <c r="B254" s="81"/>
      <c r="C254" s="81"/>
      <c r="D254" s="81"/>
      <c r="E254" s="118"/>
      <c r="F254" s="118"/>
    </row>
    <row r="255" spans="2:6" ht="12.75" customHeight="1">
      <c r="B255" s="1"/>
      <c r="C255" s="1"/>
      <c r="D255" s="1"/>
      <c r="E255" s="10"/>
      <c r="F255" s="10"/>
    </row>
    <row r="256" spans="2:6" ht="12.75" customHeight="1">
      <c r="B256" s="1"/>
      <c r="C256" s="1"/>
      <c r="D256" s="1"/>
      <c r="E256" s="10"/>
      <c r="F256" s="10"/>
    </row>
    <row r="257" spans="2:6" ht="12.75" customHeight="1">
      <c r="B257" s="1"/>
      <c r="C257" s="1"/>
      <c r="D257" s="1"/>
      <c r="E257" s="10"/>
      <c r="F257" s="10"/>
    </row>
    <row r="258" spans="2:6" ht="12.75" customHeight="1">
      <c r="B258" s="1"/>
      <c r="C258" s="1"/>
      <c r="D258" s="1"/>
      <c r="E258" s="10"/>
      <c r="F258" s="10"/>
    </row>
    <row r="259" spans="2:6" ht="12.75" customHeight="1">
      <c r="E259" s="9"/>
      <c r="F259" s="9"/>
    </row>
  </sheetData>
  <phoneticPr fontId="0" type="noConversion"/>
  <pageMargins left="0.1" right="0.1" top="0.75" bottom="0.75" header="0.3" footer="0.3"/>
  <pageSetup scale="56" orientation="landscape" r:id="rId1"/>
  <headerFooter alignWithMargins="0">
    <oddFooter>&amp;RPage &amp;P of &amp;N</oddFooter>
  </headerFooter>
  <rowBreaks count="3" manualBreakCount="3">
    <brk id="35" max="16383" man="1"/>
    <brk id="77" max="16383" man="1"/>
    <brk id="109" max="17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71D7-A5D5-45AE-AC8E-A408D4D4B84F}">
  <sheetPr>
    <pageSetUpPr fitToPage="1"/>
  </sheetPr>
  <dimension ref="A1:AP44"/>
  <sheetViews>
    <sheetView view="pageBreakPreview" zoomScale="85" zoomScaleNormal="75" zoomScaleSheetLayoutView="85" workbookViewId="0">
      <selection activeCell="B30" sqref="B30:I43"/>
    </sheetView>
  </sheetViews>
  <sheetFormatPr defaultColWidth="9.109375" defaultRowHeight="12.75" customHeight="1"/>
  <cols>
    <col min="1" max="1" width="1.6640625" style="81" bestFit="1" customWidth="1"/>
    <col min="2" max="34" width="5.109375" style="81" customWidth="1"/>
    <col min="35" max="37" width="3.33203125" style="81" customWidth="1"/>
    <col min="38" max="41" width="9.109375" style="81"/>
    <col min="42" max="42" width="1.6640625" style="81" customWidth="1"/>
    <col min="43" max="16384" width="9.109375" style="81"/>
  </cols>
  <sheetData>
    <row r="1" spans="1:42" ht="24" customHeight="1" thickBot="1">
      <c r="A1" s="118"/>
      <c r="B1" s="3" t="s">
        <v>155</v>
      </c>
      <c r="C1" s="19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</row>
    <row r="2" spans="1:42" ht="12.75" customHeight="1" thickBo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85"/>
      <c r="AB2" s="185"/>
      <c r="AC2" s="185"/>
      <c r="AD2" s="185"/>
      <c r="AE2" s="185"/>
      <c r="AF2" s="185"/>
      <c r="AG2" s="185"/>
      <c r="AH2" s="185"/>
    </row>
    <row r="3" spans="1:42" ht="12.75" customHeight="1">
      <c r="A3" s="118"/>
      <c r="B3" s="24"/>
      <c r="L3" s="246" t="s">
        <v>162</v>
      </c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8"/>
      <c r="AJ3" s="24" t="s">
        <v>346</v>
      </c>
      <c r="AK3" s="24"/>
    </row>
    <row r="4" spans="1:42" ht="12.75" customHeight="1">
      <c r="A4" s="118"/>
      <c r="L4" s="249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1"/>
      <c r="AK4" s="144"/>
    </row>
    <row r="5" spans="1:42" ht="12.75" customHeight="1">
      <c r="A5" s="118"/>
      <c r="L5" s="249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  <c r="AK5" s="146" t="s">
        <v>344</v>
      </c>
    </row>
    <row r="6" spans="1:42" ht="12.75" customHeight="1">
      <c r="A6" s="118"/>
      <c r="L6" s="249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1"/>
      <c r="AK6" s="146" t="s">
        <v>308</v>
      </c>
    </row>
    <row r="7" spans="1:42" ht="12.75" customHeight="1">
      <c r="A7" s="118"/>
      <c r="L7" s="249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1"/>
      <c r="AK7" s="146" t="s">
        <v>309</v>
      </c>
    </row>
    <row r="8" spans="1:42" ht="12.75" customHeight="1">
      <c r="A8" s="118"/>
      <c r="L8" s="249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1"/>
      <c r="AK8" s="146" t="s">
        <v>310</v>
      </c>
    </row>
    <row r="9" spans="1:42" ht="12.75" customHeight="1">
      <c r="A9" s="118"/>
      <c r="L9" s="249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1"/>
      <c r="AK9" s="146" t="s">
        <v>311</v>
      </c>
    </row>
    <row r="10" spans="1:42" ht="12.75" customHeight="1" thickBot="1">
      <c r="A10" s="118"/>
      <c r="L10" s="252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4"/>
      <c r="AK10" s="146" t="s">
        <v>312</v>
      </c>
    </row>
    <row r="11" spans="1:42" ht="12.75" customHeight="1" thickBot="1">
      <c r="A11" s="118"/>
      <c r="Q11" s="186" t="s">
        <v>150</v>
      </c>
      <c r="R11" s="187" t="s">
        <v>96</v>
      </c>
      <c r="AC11" s="237" t="s">
        <v>161</v>
      </c>
      <c r="AD11" s="238"/>
      <c r="AE11" s="238"/>
      <c r="AF11" s="239"/>
      <c r="AK11" s="146" t="s">
        <v>313</v>
      </c>
    </row>
    <row r="12" spans="1:42" ht="12.75" customHeight="1" thickBot="1">
      <c r="A12" s="118"/>
      <c r="M12" s="255" t="s">
        <v>178</v>
      </c>
      <c r="N12" s="256"/>
      <c r="O12" s="256"/>
      <c r="P12" s="256"/>
      <c r="Q12" s="256"/>
      <c r="R12" s="256"/>
      <c r="S12" s="256"/>
      <c r="T12" s="256"/>
      <c r="U12" s="256"/>
      <c r="V12" s="257"/>
      <c r="AC12" s="240"/>
      <c r="AD12" s="241"/>
      <c r="AE12" s="241"/>
      <c r="AF12" s="242"/>
      <c r="AK12" s="146" t="s">
        <v>314</v>
      </c>
    </row>
    <row r="13" spans="1:42" ht="12.75" customHeight="1">
      <c r="A13" s="118"/>
      <c r="M13" s="258"/>
      <c r="N13" s="259"/>
      <c r="O13" s="259"/>
      <c r="P13" s="259"/>
      <c r="Q13" s="259"/>
      <c r="R13" s="259"/>
      <c r="S13" s="259"/>
      <c r="T13" s="259"/>
      <c r="U13" s="259"/>
      <c r="V13" s="260"/>
      <c r="AC13" s="240"/>
      <c r="AD13" s="241"/>
      <c r="AE13" s="241"/>
      <c r="AF13" s="242"/>
      <c r="AK13" s="146" t="s">
        <v>315</v>
      </c>
    </row>
    <row r="14" spans="1:42" ht="12.75" customHeight="1">
      <c r="A14" s="118"/>
      <c r="M14" s="258"/>
      <c r="N14" s="259"/>
      <c r="O14" s="259"/>
      <c r="P14" s="259"/>
      <c r="Q14" s="259"/>
      <c r="R14" s="259"/>
      <c r="S14" s="259"/>
      <c r="T14" s="259"/>
      <c r="U14" s="259"/>
      <c r="V14" s="260"/>
      <c r="AC14" s="240"/>
      <c r="AD14" s="241"/>
      <c r="AE14" s="241"/>
      <c r="AF14" s="242"/>
      <c r="AK14" s="146" t="s">
        <v>316</v>
      </c>
    </row>
    <row r="15" spans="1:42" ht="12.75" customHeight="1" thickBot="1">
      <c r="A15" s="118"/>
      <c r="M15" s="261"/>
      <c r="N15" s="262"/>
      <c r="O15" s="262"/>
      <c r="P15" s="262"/>
      <c r="Q15" s="262"/>
      <c r="R15" s="262"/>
      <c r="S15" s="262"/>
      <c r="T15" s="262"/>
      <c r="U15" s="262"/>
      <c r="V15" s="263"/>
      <c r="AC15" s="240"/>
      <c r="AD15" s="241"/>
      <c r="AE15" s="241"/>
      <c r="AF15" s="242"/>
      <c r="AK15" s="146" t="s">
        <v>317</v>
      </c>
    </row>
    <row r="16" spans="1:42" ht="12.75" customHeight="1" thickBot="1">
      <c r="A16" s="118"/>
      <c r="Q16" s="186" t="s">
        <v>150</v>
      </c>
      <c r="R16" s="187" t="s">
        <v>96</v>
      </c>
      <c r="AC16" s="243"/>
      <c r="AD16" s="244"/>
      <c r="AE16" s="244"/>
      <c r="AF16" s="245"/>
      <c r="AK16" s="146" t="s">
        <v>318</v>
      </c>
    </row>
    <row r="17" spans="1:37" ht="12.75" customHeight="1">
      <c r="A17" s="118"/>
      <c r="J17" s="264" t="s">
        <v>163</v>
      </c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6"/>
      <c r="AK17" s="146" t="s">
        <v>319</v>
      </c>
    </row>
    <row r="18" spans="1:37" ht="12.75" customHeight="1">
      <c r="A18" s="118"/>
      <c r="J18" s="267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68"/>
      <c r="AK18" s="146" t="s">
        <v>320</v>
      </c>
    </row>
    <row r="19" spans="1:37" ht="12.75" customHeight="1">
      <c r="A19" s="118"/>
      <c r="J19" s="267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68"/>
      <c r="AK19" s="146" t="s">
        <v>321</v>
      </c>
    </row>
    <row r="20" spans="1:37" ht="12.75" customHeight="1">
      <c r="A20" s="118"/>
      <c r="J20" s="267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68"/>
      <c r="AK20" s="146" t="s">
        <v>322</v>
      </c>
    </row>
    <row r="21" spans="1:37" ht="12.75" customHeight="1">
      <c r="A21" s="118"/>
      <c r="J21" s="267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68"/>
      <c r="AK21" s="146" t="s">
        <v>323</v>
      </c>
    </row>
    <row r="22" spans="1:37" ht="12.75" customHeight="1">
      <c r="A22" s="118"/>
      <c r="J22" s="267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68"/>
      <c r="AK22" s="146" t="s">
        <v>324</v>
      </c>
    </row>
    <row r="23" spans="1:37" ht="12.75" customHeight="1">
      <c r="A23" s="118"/>
      <c r="J23" s="267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68"/>
      <c r="AK23" s="146" t="s">
        <v>325</v>
      </c>
    </row>
    <row r="24" spans="1:37" ht="12.75" customHeight="1">
      <c r="A24" s="118"/>
      <c r="J24" s="267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68"/>
      <c r="AK24" s="146" t="s">
        <v>326</v>
      </c>
    </row>
    <row r="25" spans="1:37" ht="12.75" customHeight="1">
      <c r="A25" s="118"/>
      <c r="J25" s="267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68"/>
      <c r="AK25" s="146" t="s">
        <v>327</v>
      </c>
    </row>
    <row r="26" spans="1:37" ht="12.75" customHeight="1">
      <c r="A26" s="118"/>
      <c r="J26" s="267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68"/>
      <c r="AK26" s="146" t="s">
        <v>328</v>
      </c>
    </row>
    <row r="27" spans="1:37" ht="12.75" customHeight="1" thickBot="1">
      <c r="A27" s="118"/>
      <c r="J27" s="269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1"/>
      <c r="AK27" s="146" t="s">
        <v>329</v>
      </c>
    </row>
    <row r="28" spans="1:37" ht="12.75" customHeight="1">
      <c r="A28" s="118"/>
      <c r="C28" s="188" t="s">
        <v>151</v>
      </c>
      <c r="D28" s="188" t="s">
        <v>151</v>
      </c>
      <c r="E28" s="188" t="s">
        <v>152</v>
      </c>
      <c r="F28" s="188" t="s">
        <v>151</v>
      </c>
      <c r="G28" s="188" t="s">
        <v>151</v>
      </c>
      <c r="H28" s="188" t="s">
        <v>151</v>
      </c>
      <c r="I28" s="188" t="s">
        <v>151</v>
      </c>
      <c r="J28" s="188" t="s">
        <v>151</v>
      </c>
      <c r="K28" s="188" t="s">
        <v>151</v>
      </c>
      <c r="L28" s="188" t="s">
        <v>152</v>
      </c>
      <c r="M28" s="188" t="s">
        <v>151</v>
      </c>
      <c r="N28" s="188" t="s">
        <v>151</v>
      </c>
      <c r="O28" s="188" t="s">
        <v>151</v>
      </c>
      <c r="P28" s="188" t="s">
        <v>151</v>
      </c>
      <c r="Q28" s="188" t="s">
        <v>151</v>
      </c>
      <c r="R28" s="188" t="s">
        <v>153</v>
      </c>
      <c r="S28" s="188" t="s">
        <v>151</v>
      </c>
      <c r="T28" s="188" t="s">
        <v>151</v>
      </c>
      <c r="U28" s="188" t="s">
        <v>151</v>
      </c>
      <c r="V28" s="188" t="s">
        <v>151</v>
      </c>
      <c r="W28" s="188" t="s">
        <v>151</v>
      </c>
      <c r="X28" s="188" t="s">
        <v>152</v>
      </c>
      <c r="Y28" s="188" t="s">
        <v>151</v>
      </c>
      <c r="Z28" s="188" t="s">
        <v>151</v>
      </c>
      <c r="AA28" s="188" t="s">
        <v>151</v>
      </c>
      <c r="AB28" s="188" t="s">
        <v>151</v>
      </c>
      <c r="AC28" s="188" t="s">
        <v>151</v>
      </c>
      <c r="AD28" s="188" t="s">
        <v>152</v>
      </c>
      <c r="AE28" s="188" t="s">
        <v>151</v>
      </c>
      <c r="AF28" s="188" t="s">
        <v>151</v>
      </c>
      <c r="AK28" s="146" t="s">
        <v>330</v>
      </c>
    </row>
    <row r="29" spans="1:37" ht="12.75" customHeight="1" thickBot="1">
      <c r="A29" s="118"/>
      <c r="B29" s="145"/>
      <c r="E29" s="189" t="s">
        <v>150</v>
      </c>
      <c r="F29" s="190" t="s">
        <v>96</v>
      </c>
      <c r="L29" s="189" t="s">
        <v>150</v>
      </c>
      <c r="M29" s="190" t="s">
        <v>96</v>
      </c>
      <c r="R29" s="189" t="s">
        <v>150</v>
      </c>
      <c r="S29" s="190" t="s">
        <v>96</v>
      </c>
      <c r="X29" s="189" t="s">
        <v>150</v>
      </c>
      <c r="Y29" s="220" t="s">
        <v>348</v>
      </c>
      <c r="Z29" s="145"/>
      <c r="AD29" s="189" t="s">
        <v>150</v>
      </c>
      <c r="AE29" s="190" t="s">
        <v>96</v>
      </c>
      <c r="AK29" s="146" t="s">
        <v>331</v>
      </c>
    </row>
    <row r="30" spans="1:37" ht="12.75" customHeight="1" thickBot="1">
      <c r="A30" s="118"/>
      <c r="B30" s="272" t="s">
        <v>156</v>
      </c>
      <c r="C30" s="265"/>
      <c r="D30" s="265"/>
      <c r="E30" s="265"/>
      <c r="F30" s="265"/>
      <c r="G30" s="265"/>
      <c r="H30" s="265"/>
      <c r="I30" s="266"/>
      <c r="J30" s="273" t="s">
        <v>157</v>
      </c>
      <c r="K30" s="265"/>
      <c r="L30" s="265"/>
      <c r="M30" s="265"/>
      <c r="N30" s="265"/>
      <c r="O30" s="265"/>
      <c r="P30" s="266"/>
      <c r="Q30" s="273" t="s">
        <v>158</v>
      </c>
      <c r="R30" s="265"/>
      <c r="S30" s="265"/>
      <c r="T30" s="265"/>
      <c r="U30" s="265"/>
      <c r="V30" s="265"/>
      <c r="W30" s="266"/>
      <c r="X30" s="272" t="s">
        <v>347</v>
      </c>
      <c r="Y30" s="265"/>
      <c r="Z30" s="265"/>
      <c r="AA30" s="265"/>
      <c r="AB30" s="265"/>
      <c r="AC30" s="265"/>
      <c r="AD30" s="266"/>
      <c r="AE30" s="274" t="s">
        <v>154</v>
      </c>
      <c r="AF30" s="256"/>
      <c r="AG30" s="256"/>
      <c r="AH30" s="257"/>
      <c r="AK30" s="146" t="s">
        <v>332</v>
      </c>
    </row>
    <row r="31" spans="1:37" ht="12.75" customHeight="1">
      <c r="A31" s="118"/>
      <c r="B31" s="267"/>
      <c r="C31" s="241"/>
      <c r="D31" s="241"/>
      <c r="E31" s="241"/>
      <c r="F31" s="241"/>
      <c r="G31" s="241"/>
      <c r="H31" s="241"/>
      <c r="I31" s="268"/>
      <c r="J31" s="267"/>
      <c r="K31" s="241"/>
      <c r="L31" s="241"/>
      <c r="M31" s="241"/>
      <c r="N31" s="241"/>
      <c r="O31" s="241"/>
      <c r="P31" s="268"/>
      <c r="Q31" s="267"/>
      <c r="R31" s="241"/>
      <c r="S31" s="241"/>
      <c r="T31" s="241"/>
      <c r="U31" s="241"/>
      <c r="V31" s="241"/>
      <c r="W31" s="268"/>
      <c r="X31" s="267"/>
      <c r="Y31" s="241"/>
      <c r="Z31" s="241"/>
      <c r="AA31" s="241"/>
      <c r="AB31" s="241"/>
      <c r="AC31" s="241"/>
      <c r="AD31" s="268"/>
      <c r="AE31" s="258"/>
      <c r="AF31" s="259"/>
      <c r="AG31" s="259"/>
      <c r="AH31" s="260"/>
      <c r="AK31" s="146" t="s">
        <v>333</v>
      </c>
    </row>
    <row r="32" spans="1:37" ht="12.75" customHeight="1">
      <c r="A32" s="118"/>
      <c r="B32" s="267"/>
      <c r="C32" s="241"/>
      <c r="D32" s="241"/>
      <c r="E32" s="241"/>
      <c r="F32" s="241"/>
      <c r="G32" s="241"/>
      <c r="H32" s="241"/>
      <c r="I32" s="268"/>
      <c r="J32" s="267"/>
      <c r="K32" s="241"/>
      <c r="L32" s="241"/>
      <c r="M32" s="241"/>
      <c r="N32" s="241"/>
      <c r="O32" s="241"/>
      <c r="P32" s="268"/>
      <c r="Q32" s="267"/>
      <c r="R32" s="241"/>
      <c r="S32" s="241"/>
      <c r="T32" s="241"/>
      <c r="U32" s="241"/>
      <c r="V32" s="241"/>
      <c r="W32" s="268"/>
      <c r="X32" s="267"/>
      <c r="Y32" s="241"/>
      <c r="Z32" s="241"/>
      <c r="AA32" s="241"/>
      <c r="AB32" s="241"/>
      <c r="AC32" s="241"/>
      <c r="AD32" s="268"/>
      <c r="AE32" s="258"/>
      <c r="AF32" s="259"/>
      <c r="AG32" s="259"/>
      <c r="AH32" s="260"/>
      <c r="AK32" s="146" t="s">
        <v>334</v>
      </c>
    </row>
    <row r="33" spans="1:37" ht="12.75" customHeight="1">
      <c r="A33" s="118"/>
      <c r="B33" s="267"/>
      <c r="C33" s="241"/>
      <c r="D33" s="241"/>
      <c r="E33" s="241"/>
      <c r="F33" s="241"/>
      <c r="G33" s="241"/>
      <c r="H33" s="241"/>
      <c r="I33" s="268"/>
      <c r="J33" s="267"/>
      <c r="K33" s="241"/>
      <c r="L33" s="241"/>
      <c r="M33" s="241"/>
      <c r="N33" s="241"/>
      <c r="O33" s="241"/>
      <c r="P33" s="268"/>
      <c r="Q33" s="267"/>
      <c r="R33" s="241"/>
      <c r="S33" s="241"/>
      <c r="T33" s="241"/>
      <c r="U33" s="241"/>
      <c r="V33" s="241"/>
      <c r="W33" s="268"/>
      <c r="X33" s="267"/>
      <c r="Y33" s="241"/>
      <c r="Z33" s="241"/>
      <c r="AA33" s="241"/>
      <c r="AB33" s="241"/>
      <c r="AC33" s="241"/>
      <c r="AD33" s="268"/>
      <c r="AE33" s="258"/>
      <c r="AF33" s="259"/>
      <c r="AG33" s="259"/>
      <c r="AH33" s="260"/>
      <c r="AK33" s="146" t="s">
        <v>335</v>
      </c>
    </row>
    <row r="34" spans="1:37" ht="12.75" customHeight="1">
      <c r="A34" s="118"/>
      <c r="B34" s="267"/>
      <c r="C34" s="241"/>
      <c r="D34" s="241"/>
      <c r="E34" s="241"/>
      <c r="F34" s="241"/>
      <c r="G34" s="241"/>
      <c r="H34" s="241"/>
      <c r="I34" s="268"/>
      <c r="J34" s="267"/>
      <c r="K34" s="241"/>
      <c r="L34" s="241"/>
      <c r="M34" s="241"/>
      <c r="N34" s="241"/>
      <c r="O34" s="241"/>
      <c r="P34" s="268"/>
      <c r="Q34" s="267"/>
      <c r="R34" s="241"/>
      <c r="S34" s="241"/>
      <c r="T34" s="241"/>
      <c r="U34" s="241"/>
      <c r="V34" s="241"/>
      <c r="W34" s="268"/>
      <c r="X34" s="267"/>
      <c r="Y34" s="241"/>
      <c r="Z34" s="241"/>
      <c r="AA34" s="241"/>
      <c r="AB34" s="241"/>
      <c r="AC34" s="241"/>
      <c r="AD34" s="268"/>
      <c r="AE34" s="258"/>
      <c r="AF34" s="259"/>
      <c r="AG34" s="259"/>
      <c r="AH34" s="260"/>
      <c r="AK34" s="146" t="s">
        <v>336</v>
      </c>
    </row>
    <row r="35" spans="1:37" ht="12.75" customHeight="1">
      <c r="A35" s="118"/>
      <c r="B35" s="267"/>
      <c r="C35" s="241"/>
      <c r="D35" s="241"/>
      <c r="E35" s="241"/>
      <c r="F35" s="241"/>
      <c r="G35" s="241"/>
      <c r="H35" s="241"/>
      <c r="I35" s="268"/>
      <c r="J35" s="267"/>
      <c r="K35" s="241"/>
      <c r="L35" s="241"/>
      <c r="M35" s="241"/>
      <c r="N35" s="241"/>
      <c r="O35" s="241"/>
      <c r="P35" s="268"/>
      <c r="Q35" s="267"/>
      <c r="R35" s="241"/>
      <c r="S35" s="241"/>
      <c r="T35" s="241"/>
      <c r="U35" s="241"/>
      <c r="V35" s="241"/>
      <c r="W35" s="268"/>
      <c r="X35" s="267"/>
      <c r="Y35" s="241"/>
      <c r="Z35" s="241"/>
      <c r="AA35" s="241"/>
      <c r="AB35" s="241"/>
      <c r="AC35" s="241"/>
      <c r="AD35" s="268"/>
      <c r="AE35" s="258"/>
      <c r="AF35" s="259"/>
      <c r="AG35" s="259"/>
      <c r="AH35" s="260"/>
      <c r="AK35" s="146" t="s">
        <v>337</v>
      </c>
    </row>
    <row r="36" spans="1:37" ht="12.75" customHeight="1">
      <c r="A36" s="118"/>
      <c r="B36" s="267"/>
      <c r="C36" s="241"/>
      <c r="D36" s="241"/>
      <c r="E36" s="241"/>
      <c r="F36" s="241"/>
      <c r="G36" s="241"/>
      <c r="H36" s="241"/>
      <c r="I36" s="268"/>
      <c r="J36" s="267"/>
      <c r="K36" s="241"/>
      <c r="L36" s="241"/>
      <c r="M36" s="241"/>
      <c r="N36" s="241"/>
      <c r="O36" s="241"/>
      <c r="P36" s="268"/>
      <c r="Q36" s="267"/>
      <c r="R36" s="241"/>
      <c r="S36" s="241"/>
      <c r="T36" s="241"/>
      <c r="U36" s="241"/>
      <c r="V36" s="241"/>
      <c r="W36" s="268"/>
      <c r="X36" s="267"/>
      <c r="Y36" s="241"/>
      <c r="Z36" s="241"/>
      <c r="AA36" s="241"/>
      <c r="AB36" s="241"/>
      <c r="AC36" s="241"/>
      <c r="AD36" s="268"/>
      <c r="AE36" s="258"/>
      <c r="AF36" s="259"/>
      <c r="AG36" s="259"/>
      <c r="AH36" s="260"/>
      <c r="AK36" s="146" t="s">
        <v>338</v>
      </c>
    </row>
    <row r="37" spans="1:37" ht="12.75" customHeight="1">
      <c r="A37" s="118"/>
      <c r="B37" s="267"/>
      <c r="C37" s="241"/>
      <c r="D37" s="241"/>
      <c r="E37" s="241"/>
      <c r="F37" s="241"/>
      <c r="G37" s="241"/>
      <c r="H37" s="241"/>
      <c r="I37" s="268"/>
      <c r="J37" s="267"/>
      <c r="K37" s="241"/>
      <c r="L37" s="241"/>
      <c r="M37" s="241"/>
      <c r="N37" s="241"/>
      <c r="O37" s="241"/>
      <c r="P37" s="268"/>
      <c r="Q37" s="267"/>
      <c r="R37" s="241"/>
      <c r="S37" s="241"/>
      <c r="T37" s="241"/>
      <c r="U37" s="241"/>
      <c r="V37" s="241"/>
      <c r="W37" s="268"/>
      <c r="X37" s="267"/>
      <c r="Y37" s="241"/>
      <c r="Z37" s="241"/>
      <c r="AA37" s="241"/>
      <c r="AB37" s="241"/>
      <c r="AC37" s="241"/>
      <c r="AD37" s="268"/>
      <c r="AE37" s="258"/>
      <c r="AF37" s="259"/>
      <c r="AG37" s="259"/>
      <c r="AH37" s="260"/>
      <c r="AK37" s="146" t="s">
        <v>339</v>
      </c>
    </row>
    <row r="38" spans="1:37" ht="12.75" customHeight="1">
      <c r="A38" s="118"/>
      <c r="B38" s="267"/>
      <c r="C38" s="241"/>
      <c r="D38" s="241"/>
      <c r="E38" s="241"/>
      <c r="F38" s="241"/>
      <c r="G38" s="241"/>
      <c r="H38" s="241"/>
      <c r="I38" s="268"/>
      <c r="J38" s="267"/>
      <c r="K38" s="241"/>
      <c r="L38" s="241"/>
      <c r="M38" s="241"/>
      <c r="N38" s="241"/>
      <c r="O38" s="241"/>
      <c r="P38" s="268"/>
      <c r="Q38" s="267"/>
      <c r="R38" s="241"/>
      <c r="S38" s="241"/>
      <c r="T38" s="241"/>
      <c r="U38" s="241"/>
      <c r="V38" s="241"/>
      <c r="W38" s="268"/>
      <c r="X38" s="267"/>
      <c r="Y38" s="241"/>
      <c r="Z38" s="241"/>
      <c r="AA38" s="241"/>
      <c r="AB38" s="241"/>
      <c r="AC38" s="241"/>
      <c r="AD38" s="268"/>
      <c r="AE38" s="258"/>
      <c r="AF38" s="259"/>
      <c r="AG38" s="259"/>
      <c r="AH38" s="260"/>
      <c r="AK38" s="146" t="s">
        <v>340</v>
      </c>
    </row>
    <row r="39" spans="1:37" ht="12.75" customHeight="1">
      <c r="A39" s="118"/>
      <c r="B39" s="267"/>
      <c r="C39" s="241"/>
      <c r="D39" s="241"/>
      <c r="E39" s="241"/>
      <c r="F39" s="241"/>
      <c r="G39" s="241"/>
      <c r="H39" s="241"/>
      <c r="I39" s="268"/>
      <c r="J39" s="267"/>
      <c r="K39" s="241"/>
      <c r="L39" s="241"/>
      <c r="M39" s="241"/>
      <c r="N39" s="241"/>
      <c r="O39" s="241"/>
      <c r="P39" s="268"/>
      <c r="Q39" s="267"/>
      <c r="R39" s="241"/>
      <c r="S39" s="241"/>
      <c r="T39" s="241"/>
      <c r="U39" s="241"/>
      <c r="V39" s="241"/>
      <c r="W39" s="268"/>
      <c r="X39" s="267"/>
      <c r="Y39" s="241"/>
      <c r="Z39" s="241"/>
      <c r="AA39" s="241"/>
      <c r="AB39" s="241"/>
      <c r="AC39" s="241"/>
      <c r="AD39" s="268"/>
      <c r="AE39" s="258"/>
      <c r="AF39" s="259"/>
      <c r="AG39" s="259"/>
      <c r="AH39" s="260"/>
      <c r="AK39" s="146" t="s">
        <v>341</v>
      </c>
    </row>
    <row r="40" spans="1:37" ht="12.75" customHeight="1">
      <c r="A40" s="118"/>
      <c r="B40" s="267"/>
      <c r="C40" s="241"/>
      <c r="D40" s="241"/>
      <c r="E40" s="241"/>
      <c r="F40" s="241"/>
      <c r="G40" s="241"/>
      <c r="H40" s="241"/>
      <c r="I40" s="268"/>
      <c r="J40" s="267"/>
      <c r="K40" s="241"/>
      <c r="L40" s="241"/>
      <c r="M40" s="241"/>
      <c r="N40" s="241"/>
      <c r="O40" s="241"/>
      <c r="P40" s="268"/>
      <c r="Q40" s="267"/>
      <c r="R40" s="241"/>
      <c r="S40" s="241"/>
      <c r="T40" s="241"/>
      <c r="U40" s="241"/>
      <c r="V40" s="241"/>
      <c r="W40" s="268"/>
      <c r="X40" s="267"/>
      <c r="Y40" s="241"/>
      <c r="Z40" s="241"/>
      <c r="AA40" s="241"/>
      <c r="AB40" s="241"/>
      <c r="AC40" s="241"/>
      <c r="AD40" s="268"/>
      <c r="AE40" s="258"/>
      <c r="AF40" s="259"/>
      <c r="AG40" s="259"/>
      <c r="AH40" s="260"/>
      <c r="AK40" s="146" t="s">
        <v>342</v>
      </c>
    </row>
    <row r="41" spans="1:37" ht="12.75" customHeight="1">
      <c r="A41" s="118"/>
      <c r="B41" s="267"/>
      <c r="C41" s="241"/>
      <c r="D41" s="241"/>
      <c r="E41" s="241"/>
      <c r="F41" s="241"/>
      <c r="G41" s="241"/>
      <c r="H41" s="241"/>
      <c r="I41" s="268"/>
      <c r="J41" s="267"/>
      <c r="K41" s="241"/>
      <c r="L41" s="241"/>
      <c r="M41" s="241"/>
      <c r="N41" s="241"/>
      <c r="O41" s="241"/>
      <c r="P41" s="268"/>
      <c r="Q41" s="267"/>
      <c r="R41" s="241"/>
      <c r="S41" s="241"/>
      <c r="T41" s="241"/>
      <c r="U41" s="241"/>
      <c r="V41" s="241"/>
      <c r="W41" s="268"/>
      <c r="X41" s="267"/>
      <c r="Y41" s="241"/>
      <c r="Z41" s="241"/>
      <c r="AA41" s="241"/>
      <c r="AB41" s="241"/>
      <c r="AC41" s="241"/>
      <c r="AD41" s="268"/>
      <c r="AE41" s="258"/>
      <c r="AF41" s="259"/>
      <c r="AG41" s="259"/>
      <c r="AH41" s="260"/>
      <c r="AK41" s="146" t="s">
        <v>343</v>
      </c>
    </row>
    <row r="42" spans="1:37" ht="12.75" customHeight="1">
      <c r="A42" s="118"/>
      <c r="B42" s="267"/>
      <c r="C42" s="241"/>
      <c r="D42" s="241"/>
      <c r="E42" s="241"/>
      <c r="F42" s="241"/>
      <c r="G42" s="241"/>
      <c r="H42" s="241"/>
      <c r="I42" s="268"/>
      <c r="J42" s="267"/>
      <c r="K42" s="241"/>
      <c r="L42" s="241"/>
      <c r="M42" s="241"/>
      <c r="N42" s="241"/>
      <c r="O42" s="241"/>
      <c r="P42" s="268"/>
      <c r="Q42" s="267"/>
      <c r="R42" s="241"/>
      <c r="S42" s="241"/>
      <c r="T42" s="241"/>
      <c r="U42" s="241"/>
      <c r="V42" s="241"/>
      <c r="W42" s="268"/>
      <c r="X42" s="267"/>
      <c r="Y42" s="241"/>
      <c r="Z42" s="241"/>
      <c r="AA42" s="241"/>
      <c r="AB42" s="241"/>
      <c r="AC42" s="241"/>
      <c r="AD42" s="268"/>
      <c r="AE42" s="258"/>
      <c r="AF42" s="259"/>
      <c r="AG42" s="259"/>
      <c r="AH42" s="260"/>
    </row>
    <row r="43" spans="1:37" ht="12.75" customHeight="1" thickBot="1">
      <c r="A43" s="118"/>
      <c r="B43" s="269"/>
      <c r="C43" s="270"/>
      <c r="D43" s="270"/>
      <c r="E43" s="270"/>
      <c r="F43" s="270"/>
      <c r="G43" s="270"/>
      <c r="H43" s="270"/>
      <c r="I43" s="271"/>
      <c r="J43" s="269"/>
      <c r="K43" s="270"/>
      <c r="L43" s="270"/>
      <c r="M43" s="270"/>
      <c r="N43" s="270"/>
      <c r="O43" s="270"/>
      <c r="P43" s="271"/>
      <c r="Q43" s="269"/>
      <c r="R43" s="270"/>
      <c r="S43" s="270"/>
      <c r="T43" s="270"/>
      <c r="U43" s="270"/>
      <c r="V43" s="270"/>
      <c r="W43" s="271"/>
      <c r="X43" s="269"/>
      <c r="Y43" s="270"/>
      <c r="Z43" s="270"/>
      <c r="AA43" s="270"/>
      <c r="AB43" s="270"/>
      <c r="AC43" s="270"/>
      <c r="AD43" s="271"/>
      <c r="AE43" s="261"/>
      <c r="AF43" s="262"/>
      <c r="AG43" s="262"/>
      <c r="AH43" s="263"/>
      <c r="AJ43" s="145" t="s">
        <v>345</v>
      </c>
      <c r="AK43" s="145"/>
    </row>
    <row r="44" spans="1:37" ht="12.75" customHeight="1">
      <c r="A44" s="118"/>
      <c r="E44" s="189"/>
      <c r="AA44" s="189"/>
    </row>
  </sheetData>
  <mergeCells count="9">
    <mergeCell ref="AC11:AF16"/>
    <mergeCell ref="L3:W10"/>
    <mergeCell ref="M12:V15"/>
    <mergeCell ref="J17:Y27"/>
    <mergeCell ref="B30:I43"/>
    <mergeCell ref="J30:P43"/>
    <mergeCell ref="Q30:W43"/>
    <mergeCell ref="X30:AD43"/>
    <mergeCell ref="AE30:AH43"/>
  </mergeCells>
  <pageMargins left="0.1" right="0.1" top="0.75" bottom="0.75" header="0.3" footer="0.3"/>
  <pageSetup scale="64" orientation="landscape" r:id="rId1"/>
  <headerFooter alignWithMargins="0"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9FCE-141E-45C3-A1F8-9F390058AAAD}">
  <sheetPr>
    <pageSetUpPr fitToPage="1"/>
  </sheetPr>
  <dimension ref="A1:BR984"/>
  <sheetViews>
    <sheetView view="pageBreakPreview" zoomScale="75" zoomScaleNormal="75" zoomScaleSheetLayoutView="7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26" sqref="A26"/>
    </sheetView>
  </sheetViews>
  <sheetFormatPr defaultColWidth="9.109375" defaultRowHeight="12.75" customHeight="1" outlineLevelCol="1"/>
  <cols>
    <col min="1" max="1" width="1.6640625" style="2" customWidth="1"/>
    <col min="2" max="2" width="3.44140625" style="2" customWidth="1"/>
    <col min="3" max="3" width="27.6640625" style="2" customWidth="1"/>
    <col min="4" max="4" width="2.33203125" style="2" customWidth="1"/>
    <col min="5" max="20" width="11" style="54" customWidth="1"/>
    <col min="21" max="24" width="11" style="2" customWidth="1" outlineLevel="1"/>
    <col min="25" max="25" width="11" style="54" customWidth="1"/>
    <col min="26" max="29" width="11" style="2" customWidth="1" outlineLevel="1"/>
    <col min="30" max="30" width="11" style="54" customWidth="1"/>
    <col min="31" max="34" width="11" style="2" customWidth="1" outlineLevel="1"/>
    <col min="35" max="35" width="11" style="54" customWidth="1"/>
    <col min="36" max="39" width="11" style="2" customWidth="1"/>
    <col min="40" max="40" width="11" style="54" customWidth="1"/>
    <col min="41" max="44" width="11" style="2" customWidth="1"/>
    <col min="45" max="45" width="11" style="54" customWidth="1"/>
    <col min="46" max="49" width="11" style="2" customWidth="1"/>
    <col min="50" max="62" width="11" style="54" customWidth="1"/>
    <col min="63" max="64" width="9.109375" style="2"/>
    <col min="65" max="65" width="12.6640625" style="2" bestFit="1" customWidth="1"/>
    <col min="66" max="16384" width="9.109375" style="2"/>
  </cols>
  <sheetData>
    <row r="1" spans="1:65" ht="24" customHeight="1" thickBot="1">
      <c r="A1" s="33"/>
      <c r="B1" s="3" t="s">
        <v>179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31"/>
      <c r="Z1" s="4"/>
      <c r="AA1" s="4"/>
      <c r="AB1" s="4"/>
      <c r="AC1" s="4"/>
      <c r="AD1" s="31"/>
      <c r="AE1" s="4"/>
      <c r="AF1" s="4"/>
      <c r="AG1" s="4"/>
      <c r="AH1" s="4"/>
      <c r="AI1" s="31"/>
      <c r="AJ1" s="4"/>
      <c r="AK1" s="4"/>
      <c r="AL1" s="4"/>
      <c r="AM1" s="4"/>
      <c r="AN1" s="31"/>
      <c r="AO1" s="4"/>
      <c r="AP1" s="4"/>
      <c r="AQ1" s="4"/>
      <c r="AR1" s="4"/>
      <c r="AS1" s="31"/>
      <c r="AT1" s="4"/>
      <c r="AU1" s="4"/>
      <c r="AV1" s="4"/>
      <c r="AW1" s="4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</row>
    <row r="2" spans="1:65" ht="12.75" customHeight="1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Y2" s="1"/>
      <c r="AD2" s="1"/>
      <c r="AI2" s="1"/>
      <c r="AN2" s="1"/>
      <c r="AS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M2" s="81"/>
    </row>
    <row r="3" spans="1:65" ht="12.75" customHeight="1">
      <c r="B3" s="8" t="s">
        <v>32</v>
      </c>
      <c r="C3" s="2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Y3" s="1"/>
      <c r="AD3" s="1"/>
      <c r="AI3" s="1"/>
      <c r="AN3" s="1"/>
      <c r="AQ3" s="81"/>
      <c r="AS3" s="1"/>
      <c r="AU3" s="81"/>
      <c r="AX3" s="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81"/>
    </row>
    <row r="4" spans="1:65" ht="12.75" customHeight="1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Y4" s="1"/>
      <c r="AD4" s="1"/>
      <c r="AI4" s="1"/>
      <c r="AN4" s="1"/>
      <c r="AS4" s="1"/>
      <c r="AU4" s="8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M4" s="81"/>
    </row>
    <row r="5" spans="1:65" s="11" customFormat="1" ht="12.75" customHeight="1">
      <c r="E5" s="89">
        <f t="shared" ref="E5:J5" si="0">F5-1</f>
        <v>2004</v>
      </c>
      <c r="F5" s="89">
        <f t="shared" si="0"/>
        <v>2005</v>
      </c>
      <c r="G5" s="89">
        <f t="shared" si="0"/>
        <v>2006</v>
      </c>
      <c r="H5" s="89">
        <f t="shared" si="0"/>
        <v>2007</v>
      </c>
      <c r="I5" s="89">
        <f t="shared" si="0"/>
        <v>2008</v>
      </c>
      <c r="J5" s="89">
        <f t="shared" si="0"/>
        <v>2009</v>
      </c>
      <c r="K5" s="89">
        <f t="shared" ref="K5:P5" si="1">L5-1</f>
        <v>2010</v>
      </c>
      <c r="L5" s="89">
        <f t="shared" si="1"/>
        <v>2011</v>
      </c>
      <c r="M5" s="89">
        <f t="shared" si="1"/>
        <v>2012</v>
      </c>
      <c r="N5" s="89">
        <f t="shared" si="1"/>
        <v>2013</v>
      </c>
      <c r="O5" s="89">
        <f t="shared" si="1"/>
        <v>2014</v>
      </c>
      <c r="P5" s="89">
        <f t="shared" si="1"/>
        <v>2015</v>
      </c>
      <c r="Q5" s="89">
        <f>R5-1</f>
        <v>2016</v>
      </c>
      <c r="R5" s="89">
        <v>2017</v>
      </c>
      <c r="S5" s="46">
        <f>R5+1</f>
        <v>2018</v>
      </c>
      <c r="T5" s="46">
        <f>S5+1</f>
        <v>2019</v>
      </c>
      <c r="U5" s="30" t="s">
        <v>44</v>
      </c>
      <c r="V5" s="30" t="s">
        <v>45</v>
      </c>
      <c r="W5" s="30" t="s">
        <v>46</v>
      </c>
      <c r="X5" s="30" t="s">
        <v>47</v>
      </c>
      <c r="Y5" s="46">
        <f>T5+1</f>
        <v>2020</v>
      </c>
      <c r="Z5" s="30" t="s">
        <v>44</v>
      </c>
      <c r="AA5" s="30" t="s">
        <v>45</v>
      </c>
      <c r="AB5" s="30" t="s">
        <v>46</v>
      </c>
      <c r="AC5" s="30" t="s">
        <v>47</v>
      </c>
      <c r="AD5" s="46">
        <f>Y5+1</f>
        <v>2021</v>
      </c>
      <c r="AE5" s="30" t="s">
        <v>44</v>
      </c>
      <c r="AF5" s="30" t="s">
        <v>45</v>
      </c>
      <c r="AG5" s="30" t="s">
        <v>46</v>
      </c>
      <c r="AH5" s="30" t="s">
        <v>47</v>
      </c>
      <c r="AI5" s="46">
        <f>AD5+1</f>
        <v>2022</v>
      </c>
      <c r="AJ5" s="30" t="s">
        <v>44</v>
      </c>
      <c r="AK5" s="30" t="s">
        <v>45</v>
      </c>
      <c r="AL5" s="30" t="s">
        <v>46</v>
      </c>
      <c r="AM5" s="30" t="s">
        <v>47</v>
      </c>
      <c r="AN5" s="46">
        <f>AI5+1</f>
        <v>2023</v>
      </c>
      <c r="AO5" s="30" t="s">
        <v>44</v>
      </c>
      <c r="AP5" s="30" t="s">
        <v>45</v>
      </c>
      <c r="AQ5" s="30" t="s">
        <v>46</v>
      </c>
      <c r="AR5" s="102" t="s">
        <v>47</v>
      </c>
      <c r="AS5" s="46">
        <f>AN5+1</f>
        <v>2024</v>
      </c>
      <c r="AT5" s="102" t="s">
        <v>44</v>
      </c>
      <c r="AU5" s="102" t="s">
        <v>45</v>
      </c>
      <c r="AV5" s="102" t="s">
        <v>46</v>
      </c>
      <c r="AW5" s="102" t="s">
        <v>47</v>
      </c>
      <c r="AX5" s="46">
        <f>AS5+1</f>
        <v>2025</v>
      </c>
      <c r="AY5" s="102" t="s">
        <v>44</v>
      </c>
      <c r="AZ5" s="102" t="s">
        <v>45</v>
      </c>
      <c r="BA5" s="102" t="s">
        <v>46</v>
      </c>
      <c r="BB5" s="102" t="s">
        <v>47</v>
      </c>
      <c r="BC5" s="103">
        <f>AX5+1</f>
        <v>2026</v>
      </c>
      <c r="BD5" s="102" t="s">
        <v>44</v>
      </c>
      <c r="BE5" s="102" t="s">
        <v>45</v>
      </c>
      <c r="BF5" s="102" t="s">
        <v>46</v>
      </c>
      <c r="BG5" s="102" t="s">
        <v>47</v>
      </c>
      <c r="BH5" s="103">
        <f>BC5+1</f>
        <v>2027</v>
      </c>
      <c r="BI5" s="103">
        <f>BH5+1</f>
        <v>2028</v>
      </c>
      <c r="BJ5" s="103">
        <f>BI5+1</f>
        <v>2029</v>
      </c>
      <c r="BK5" s="103">
        <f>BJ5+1</f>
        <v>2030</v>
      </c>
      <c r="BL5" s="103">
        <f>BK5+1</f>
        <v>2031</v>
      </c>
      <c r="BM5" s="175"/>
    </row>
    <row r="6" spans="1:65" ht="12.75" customHeight="1">
      <c r="A6" s="1"/>
      <c r="B6" s="1" t="s">
        <v>0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2"/>
      <c r="V6" s="32"/>
      <c r="W6" s="32"/>
      <c r="X6" s="32"/>
      <c r="Y6" s="47"/>
      <c r="Z6" s="32"/>
      <c r="AA6" s="32"/>
      <c r="AB6" s="32"/>
      <c r="AC6" s="32"/>
      <c r="AD6" s="47"/>
      <c r="AE6" s="32"/>
      <c r="AF6" s="32"/>
      <c r="AG6" s="32"/>
      <c r="AH6" s="32"/>
      <c r="AI6" s="47"/>
      <c r="AJ6" s="32"/>
      <c r="AK6" s="32"/>
      <c r="AL6" s="32"/>
      <c r="AM6" s="32"/>
      <c r="AN6" s="47"/>
      <c r="AO6" s="32"/>
      <c r="AP6" s="32"/>
      <c r="AQ6" s="32"/>
      <c r="AR6" s="32"/>
      <c r="AS6" s="47"/>
      <c r="AT6" s="32"/>
      <c r="AU6" s="32"/>
      <c r="AV6" s="32"/>
      <c r="AW6" s="32"/>
      <c r="AX6" s="47"/>
      <c r="AY6" s="32"/>
      <c r="AZ6" s="32"/>
      <c r="BA6" s="32"/>
      <c r="BB6" s="32"/>
      <c r="BC6" s="47"/>
      <c r="BD6" s="32"/>
      <c r="BE6" s="32"/>
      <c r="BF6" s="32"/>
      <c r="BG6" s="32"/>
      <c r="BH6" s="47"/>
      <c r="BI6" s="47"/>
      <c r="BJ6" s="47"/>
      <c r="BK6" s="47"/>
      <c r="BL6" s="47"/>
    </row>
    <row r="7" spans="1:65" s="38" customFormat="1" ht="12.75" customHeight="1">
      <c r="C7" s="38" t="s">
        <v>88</v>
      </c>
      <c r="E7" s="48">
        <v>1072</v>
      </c>
      <c r="F7" s="48">
        <v>1072</v>
      </c>
      <c r="G7" s="48">
        <v>1072</v>
      </c>
      <c r="H7" s="48">
        <v>1072</v>
      </c>
      <c r="I7" s="48">
        <v>1072</v>
      </c>
      <c r="J7" s="48">
        <v>1072</v>
      </c>
      <c r="K7" s="48">
        <v>1072</v>
      </c>
      <c r="L7" s="48">
        <v>1072</v>
      </c>
      <c r="M7" s="48">
        <v>1072</v>
      </c>
      <c r="N7" s="48">
        <v>1072</v>
      </c>
      <c r="O7" s="48">
        <v>1072</v>
      </c>
      <c r="P7" s="48">
        <v>1072</v>
      </c>
      <c r="Q7" s="48">
        <v>1072</v>
      </c>
      <c r="R7" s="48">
        <v>1072</v>
      </c>
      <c r="S7" s="48">
        <v>1127</v>
      </c>
      <c r="T7" s="48">
        <v>865</v>
      </c>
      <c r="U7" s="39">
        <v>1017</v>
      </c>
      <c r="V7" s="39">
        <v>1366</v>
      </c>
      <c r="W7" s="39">
        <v>1137</v>
      </c>
      <c r="X7" s="39">
        <v>1096</v>
      </c>
      <c r="Y7" s="51">
        <f>X7</f>
        <v>1096</v>
      </c>
      <c r="Z7" s="39">
        <v>1087</v>
      </c>
      <c r="AA7" s="39">
        <v>1820</v>
      </c>
      <c r="AB7" s="39">
        <v>2703</v>
      </c>
      <c r="AC7" s="39">
        <v>2258</v>
      </c>
      <c r="AD7" s="51">
        <f>AC7</f>
        <v>2258</v>
      </c>
      <c r="AE7" s="39">
        <v>1521</v>
      </c>
      <c r="AF7" s="39">
        <v>1041</v>
      </c>
      <c r="AG7" s="39">
        <v>1006</v>
      </c>
      <c r="AH7" s="39">
        <v>943</v>
      </c>
      <c r="AI7" s="51">
        <f>AH7</f>
        <v>943</v>
      </c>
      <c r="AJ7" s="39">
        <v>728</v>
      </c>
      <c r="AK7" s="39">
        <v>682</v>
      </c>
      <c r="AL7" s="39">
        <v>594</v>
      </c>
      <c r="AM7" s="39">
        <v>764</v>
      </c>
      <c r="AN7" s="51">
        <f>AM7</f>
        <v>764</v>
      </c>
      <c r="AO7" s="39">
        <v>465</v>
      </c>
      <c r="AP7" s="39">
        <v>568</v>
      </c>
      <c r="AQ7" s="39">
        <v>501</v>
      </c>
      <c r="AR7" s="39">
        <v>592</v>
      </c>
      <c r="AS7" s="51">
        <f>AR7</f>
        <v>592</v>
      </c>
      <c r="AT7" s="39">
        <v>626</v>
      </c>
      <c r="AU7" s="39">
        <v>503</v>
      </c>
      <c r="AV7" s="39">
        <v>1095</v>
      </c>
      <c r="AW7" s="39">
        <v>565</v>
      </c>
      <c r="AX7" s="51">
        <f>AW7</f>
        <v>565</v>
      </c>
      <c r="AY7" s="40">
        <f ca="1">AY419-AY8</f>
        <v>300</v>
      </c>
      <c r="AZ7" s="40">
        <f ca="1">AZ419-AZ8</f>
        <v>300</v>
      </c>
      <c r="BA7" s="40">
        <f ca="1">BA419-BA8</f>
        <v>300</v>
      </c>
      <c r="BB7" s="40">
        <f ca="1">BB419-BB8</f>
        <v>300</v>
      </c>
      <c r="BC7" s="51">
        <f ca="1">BB7</f>
        <v>300</v>
      </c>
      <c r="BD7" s="40">
        <f ca="1">BD419-BD8</f>
        <v>299.99999999999955</v>
      </c>
      <c r="BE7" s="40">
        <f ca="1">BE419-BE8</f>
        <v>300</v>
      </c>
      <c r="BF7" s="40">
        <f ca="1">BF419-BF8</f>
        <v>300</v>
      </c>
      <c r="BG7" s="40">
        <f ca="1">BG419-BG8</f>
        <v>300</v>
      </c>
      <c r="BH7" s="51">
        <f ca="1">BG7</f>
        <v>300</v>
      </c>
      <c r="BI7" s="51">
        <f ca="1">BI419-BI8</f>
        <v>299.99999999999955</v>
      </c>
      <c r="BJ7" s="51">
        <f ca="1">BJ419-BJ8</f>
        <v>299.99999999999955</v>
      </c>
      <c r="BK7" s="51">
        <f ca="1">BK419-BK8</f>
        <v>299.99999999999955</v>
      </c>
      <c r="BL7" s="51">
        <f ca="1">BL419-BL8</f>
        <v>299.99999999999955</v>
      </c>
    </row>
    <row r="8" spans="1:65" s="38" customFormat="1" ht="12.75" customHeight="1">
      <c r="C8" s="84" t="s">
        <v>189</v>
      </c>
      <c r="E8" s="48">
        <v>432</v>
      </c>
      <c r="F8" s="48">
        <v>432</v>
      </c>
      <c r="G8" s="48">
        <v>432</v>
      </c>
      <c r="H8" s="48">
        <v>432</v>
      </c>
      <c r="I8" s="48">
        <v>432</v>
      </c>
      <c r="J8" s="48">
        <v>432</v>
      </c>
      <c r="K8" s="48">
        <v>432</v>
      </c>
      <c r="L8" s="48">
        <v>432</v>
      </c>
      <c r="M8" s="48">
        <v>432</v>
      </c>
      <c r="N8" s="48">
        <v>432</v>
      </c>
      <c r="O8" s="48">
        <v>432</v>
      </c>
      <c r="P8" s="48">
        <v>432</v>
      </c>
      <c r="Q8" s="48">
        <v>432</v>
      </c>
      <c r="R8" s="48">
        <v>432</v>
      </c>
      <c r="S8" s="48">
        <v>283</v>
      </c>
      <c r="T8" s="48">
        <v>495</v>
      </c>
      <c r="U8" s="39">
        <v>392</v>
      </c>
      <c r="V8" s="39">
        <v>945</v>
      </c>
      <c r="W8" s="39">
        <v>745</v>
      </c>
      <c r="X8" s="39">
        <v>411</v>
      </c>
      <c r="Y8" s="51">
        <f>X8</f>
        <v>411</v>
      </c>
      <c r="Z8" s="39">
        <v>1353</v>
      </c>
      <c r="AA8" s="39">
        <v>875</v>
      </c>
      <c r="AB8" s="39">
        <v>763</v>
      </c>
      <c r="AC8" s="39">
        <v>393</v>
      </c>
      <c r="AD8" s="51">
        <f>AC8</f>
        <v>393</v>
      </c>
      <c r="AE8" s="39">
        <v>601</v>
      </c>
      <c r="AF8" s="39">
        <v>522</v>
      </c>
      <c r="AG8" s="39">
        <v>502</v>
      </c>
      <c r="AH8" s="39">
        <v>475</v>
      </c>
      <c r="AI8" s="51">
        <f>AH8</f>
        <v>475</v>
      </c>
      <c r="AJ8" s="39">
        <v>514</v>
      </c>
      <c r="AK8" s="39">
        <v>484</v>
      </c>
      <c r="AL8" s="39">
        <v>462</v>
      </c>
      <c r="AM8" s="39">
        <v>442</v>
      </c>
      <c r="AN8" s="51">
        <f>AM8</f>
        <v>442</v>
      </c>
      <c r="AO8" s="39">
        <v>480</v>
      </c>
      <c r="AP8" s="39">
        <v>426</v>
      </c>
      <c r="AQ8" s="39">
        <v>404</v>
      </c>
      <c r="AR8" s="39">
        <v>541</v>
      </c>
      <c r="AS8" s="51">
        <f>AR8</f>
        <v>541</v>
      </c>
      <c r="AT8" s="39">
        <v>395</v>
      </c>
      <c r="AU8" s="39">
        <v>626</v>
      </c>
      <c r="AV8" s="39">
        <v>454</v>
      </c>
      <c r="AW8" s="39">
        <v>602</v>
      </c>
      <c r="AX8" s="51">
        <f>AW8</f>
        <v>602</v>
      </c>
      <c r="AY8" s="67">
        <f>AW8</f>
        <v>602</v>
      </c>
      <c r="AZ8" s="67">
        <f t="shared" ref="AZ8" si="2">AY8</f>
        <v>602</v>
      </c>
      <c r="BA8" s="67">
        <f t="shared" ref="BA8" si="3">AZ8</f>
        <v>602</v>
      </c>
      <c r="BB8" s="67">
        <f t="shared" ref="BB8" si="4">BA8</f>
        <v>602</v>
      </c>
      <c r="BC8" s="51">
        <f t="shared" ref="BC8" si="5">BB8</f>
        <v>602</v>
      </c>
      <c r="BD8" s="67">
        <f>BB8</f>
        <v>602</v>
      </c>
      <c r="BE8" s="67">
        <f t="shared" ref="BE8" si="6">BD8</f>
        <v>602</v>
      </c>
      <c r="BF8" s="67">
        <f t="shared" ref="BF8" si="7">BE8</f>
        <v>602</v>
      </c>
      <c r="BG8" s="67">
        <f t="shared" ref="BG8" si="8">BF8</f>
        <v>602</v>
      </c>
      <c r="BH8" s="51">
        <f t="shared" ref="BH8" si="9">BG8</f>
        <v>602</v>
      </c>
      <c r="BI8" s="68">
        <f t="shared" ref="BI8" si="10">BH8</f>
        <v>602</v>
      </c>
      <c r="BJ8" s="68">
        <f t="shared" ref="BJ8" si="11">BI8</f>
        <v>602</v>
      </c>
      <c r="BK8" s="68">
        <f t="shared" ref="BK8" si="12">BJ8</f>
        <v>602</v>
      </c>
      <c r="BL8" s="68">
        <f t="shared" ref="BL8" si="13">BK8</f>
        <v>602</v>
      </c>
    </row>
    <row r="9" spans="1:65" s="38" customFormat="1" ht="12.75" customHeight="1">
      <c r="C9" s="84" t="s">
        <v>180</v>
      </c>
      <c r="E9" s="48">
        <v>1365</v>
      </c>
      <c r="F9" s="48">
        <v>1365</v>
      </c>
      <c r="G9" s="48">
        <v>1365</v>
      </c>
      <c r="H9" s="48">
        <v>1365</v>
      </c>
      <c r="I9" s="48">
        <v>1365</v>
      </c>
      <c r="J9" s="48">
        <v>1365</v>
      </c>
      <c r="K9" s="48">
        <v>1365</v>
      </c>
      <c r="L9" s="48">
        <v>1365</v>
      </c>
      <c r="M9" s="48">
        <v>1365</v>
      </c>
      <c r="N9" s="48">
        <v>1365</v>
      </c>
      <c r="O9" s="48">
        <v>1365</v>
      </c>
      <c r="P9" s="48">
        <v>1365</v>
      </c>
      <c r="Q9" s="48">
        <v>1365</v>
      </c>
      <c r="R9" s="48">
        <v>1365</v>
      </c>
      <c r="S9" s="48">
        <v>1587</v>
      </c>
      <c r="T9" s="48">
        <v>1840</v>
      </c>
      <c r="U9" s="39">
        <v>2095</v>
      </c>
      <c r="V9" s="39">
        <v>1566</v>
      </c>
      <c r="W9" s="39">
        <v>1416</v>
      </c>
      <c r="X9" s="39">
        <v>777</v>
      </c>
      <c r="Y9" s="51">
        <f>X9</f>
        <v>777</v>
      </c>
      <c r="Z9" s="39">
        <v>793</v>
      </c>
      <c r="AA9" s="39">
        <v>1024</v>
      </c>
      <c r="AB9" s="39">
        <v>890</v>
      </c>
      <c r="AC9" s="39">
        <v>758</v>
      </c>
      <c r="AD9" s="51">
        <f>AC9</f>
        <v>758</v>
      </c>
      <c r="AE9" s="39">
        <v>800</v>
      </c>
      <c r="AF9" s="39">
        <v>975</v>
      </c>
      <c r="AG9" s="39">
        <v>1053</v>
      </c>
      <c r="AH9" s="39">
        <v>974</v>
      </c>
      <c r="AI9" s="51">
        <f>AH9</f>
        <v>974</v>
      </c>
      <c r="AJ9" s="39">
        <v>1034</v>
      </c>
      <c r="AK9" s="39">
        <v>1292</v>
      </c>
      <c r="AL9" s="39">
        <v>1407</v>
      </c>
      <c r="AM9" s="39">
        <v>1191</v>
      </c>
      <c r="AN9" s="51">
        <f>AM9</f>
        <v>1191</v>
      </c>
      <c r="AO9" s="39">
        <v>1213</v>
      </c>
      <c r="AP9" s="39">
        <v>1267</v>
      </c>
      <c r="AQ9" s="39">
        <v>1340</v>
      </c>
      <c r="AR9" s="39">
        <v>1205</v>
      </c>
      <c r="AS9" s="51">
        <f>AR9</f>
        <v>1205</v>
      </c>
      <c r="AT9" s="39">
        <v>1232</v>
      </c>
      <c r="AU9" s="39">
        <v>1150</v>
      </c>
      <c r="AV9" s="39">
        <v>1210</v>
      </c>
      <c r="AW9" s="39">
        <v>1110</v>
      </c>
      <c r="AX9" s="51">
        <f>AW9</f>
        <v>1110</v>
      </c>
      <c r="AY9" s="67">
        <f>AY56*AY54</f>
        <v>1117.4098975278459</v>
      </c>
      <c r="AZ9" s="67">
        <f t="shared" ref="AZ9:BB9" si="14">AZ56*AZ54</f>
        <v>1122.4732434291484</v>
      </c>
      <c r="BA9" s="67">
        <f t="shared" si="14"/>
        <v>1128.7159308299604</v>
      </c>
      <c r="BB9" s="67">
        <f t="shared" si="14"/>
        <v>1135.4328670750715</v>
      </c>
      <c r="BC9" s="51">
        <f>BB9</f>
        <v>1135.4328670750715</v>
      </c>
      <c r="BD9" s="67">
        <f t="shared" ref="BD9:BG9" si="15">BD56*BD54</f>
        <v>1140.3139671893161</v>
      </c>
      <c r="BE9" s="67">
        <f t="shared" si="15"/>
        <v>1146.1192557442187</v>
      </c>
      <c r="BF9" s="67">
        <f t="shared" si="15"/>
        <v>1152.7130182410592</v>
      </c>
      <c r="BG9" s="67">
        <f t="shared" si="15"/>
        <v>1158.141524416573</v>
      </c>
      <c r="BH9" s="51">
        <f>BG9</f>
        <v>1158.141524416573</v>
      </c>
      <c r="BI9" s="68">
        <f t="shared" ref="BI9:BL9" si="16">BI56*BI54</f>
        <v>1184.2119413397049</v>
      </c>
      <c r="BJ9" s="68">
        <f t="shared" si="16"/>
        <v>1204.5959173791587</v>
      </c>
      <c r="BK9" s="68">
        <f t="shared" si="16"/>
        <v>1228.6878357267422</v>
      </c>
      <c r="BL9" s="68">
        <f t="shared" si="16"/>
        <v>1253.2615924412771</v>
      </c>
    </row>
    <row r="10" spans="1:65" s="38" customFormat="1" ht="12.75" customHeight="1">
      <c r="C10" s="84" t="s">
        <v>181</v>
      </c>
      <c r="E10" s="48">
        <v>687</v>
      </c>
      <c r="F10" s="48">
        <v>687</v>
      </c>
      <c r="G10" s="48">
        <v>687</v>
      </c>
      <c r="H10" s="48">
        <v>687</v>
      </c>
      <c r="I10" s="48">
        <v>687</v>
      </c>
      <c r="J10" s="48">
        <v>687</v>
      </c>
      <c r="K10" s="48">
        <v>687</v>
      </c>
      <c r="L10" s="48">
        <v>687</v>
      </c>
      <c r="M10" s="48">
        <v>687</v>
      </c>
      <c r="N10" s="48">
        <v>687</v>
      </c>
      <c r="O10" s="48">
        <v>687</v>
      </c>
      <c r="P10" s="48">
        <v>687</v>
      </c>
      <c r="Q10" s="48">
        <v>687</v>
      </c>
      <c r="R10" s="48">
        <v>687</v>
      </c>
      <c r="S10" s="48">
        <v>902</v>
      </c>
      <c r="T10" s="48">
        <v>689</v>
      </c>
      <c r="U10" s="39">
        <v>1121</v>
      </c>
      <c r="V10" s="39">
        <v>563</v>
      </c>
      <c r="W10" s="39">
        <v>429</v>
      </c>
      <c r="X10" s="39">
        <v>373</v>
      </c>
      <c r="Y10" s="51">
        <f>X10</f>
        <v>373</v>
      </c>
      <c r="Z10" s="39">
        <v>786</v>
      </c>
      <c r="AA10" s="39">
        <v>1184</v>
      </c>
      <c r="AB10" s="39">
        <v>642</v>
      </c>
      <c r="AC10" s="39">
        <v>1017</v>
      </c>
      <c r="AD10" s="51">
        <f>AC10</f>
        <v>1017</v>
      </c>
      <c r="AE10" s="39">
        <v>1331</v>
      </c>
      <c r="AF10" s="39">
        <v>1094</v>
      </c>
      <c r="AG10" s="39">
        <v>934</v>
      </c>
      <c r="AH10" s="39">
        <v>1155</v>
      </c>
      <c r="AI10" s="51">
        <f>AH10</f>
        <v>1155</v>
      </c>
      <c r="AJ10" s="39">
        <v>980</v>
      </c>
      <c r="AK10" s="39">
        <v>1031</v>
      </c>
      <c r="AL10" s="39">
        <v>835</v>
      </c>
      <c r="AM10" s="39">
        <v>726</v>
      </c>
      <c r="AN10" s="51">
        <f>AM10</f>
        <v>726</v>
      </c>
      <c r="AO10" s="39">
        <v>751</v>
      </c>
      <c r="AP10" s="39">
        <v>754</v>
      </c>
      <c r="AQ10" s="39">
        <v>927</v>
      </c>
      <c r="AR10" s="39">
        <v>894</v>
      </c>
      <c r="AS10" s="51">
        <f>AR10</f>
        <v>894</v>
      </c>
      <c r="AT10" s="39">
        <v>1010</v>
      </c>
      <c r="AU10" s="39">
        <v>739</v>
      </c>
      <c r="AV10" s="39">
        <v>780</v>
      </c>
      <c r="AW10" s="39">
        <v>782</v>
      </c>
      <c r="AX10" s="51">
        <f>AW10</f>
        <v>782</v>
      </c>
      <c r="AY10" s="67">
        <f>AY54*AY57</f>
        <v>787.22030618628423</v>
      </c>
      <c r="AZ10" s="67">
        <f t="shared" ref="AZ10:BB10" si="17">AZ54*AZ57</f>
        <v>790.78745618161622</v>
      </c>
      <c r="BA10" s="67">
        <f t="shared" si="17"/>
        <v>795.18545757570189</v>
      </c>
      <c r="BB10" s="67">
        <f t="shared" si="17"/>
        <v>799.91756941685219</v>
      </c>
      <c r="BC10" s="51">
        <f>BB10</f>
        <v>799.91756941685219</v>
      </c>
      <c r="BD10" s="67">
        <f t="shared" ref="BD10:BG10" si="18">BD54*BD57</f>
        <v>803.35632643427505</v>
      </c>
      <c r="BE10" s="67">
        <f t="shared" si="18"/>
        <v>807.44617837115231</v>
      </c>
      <c r="BF10" s="67">
        <f t="shared" si="18"/>
        <v>812.09151375180932</v>
      </c>
      <c r="BG10" s="67">
        <f t="shared" si="18"/>
        <v>815.91592080518933</v>
      </c>
      <c r="BH10" s="51">
        <f>BG10</f>
        <v>815.91592080518933</v>
      </c>
      <c r="BI10" s="68">
        <f t="shared" ref="BI10:BL10" si="19">BI54*BI57</f>
        <v>834.28264696184613</v>
      </c>
      <c r="BJ10" s="68">
        <f t="shared" si="19"/>
        <v>848.64324990135333</v>
      </c>
      <c r="BK10" s="68">
        <f t="shared" si="19"/>
        <v>865.61611489938048</v>
      </c>
      <c r="BL10" s="68">
        <f t="shared" si="19"/>
        <v>882.92843719736823</v>
      </c>
    </row>
    <row r="11" spans="1:65" s="38" customFormat="1" ht="12.75" customHeight="1">
      <c r="C11" s="84" t="s">
        <v>190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70">
        <v>0</v>
      </c>
      <c r="V11" s="70">
        <v>0</v>
      </c>
      <c r="W11" s="70">
        <v>0</v>
      </c>
      <c r="X11" s="70">
        <v>0</v>
      </c>
      <c r="Y11" s="71">
        <f>X11</f>
        <v>0</v>
      </c>
      <c r="Z11" s="70">
        <v>0</v>
      </c>
      <c r="AA11" s="70">
        <v>0</v>
      </c>
      <c r="AB11" s="70">
        <v>0</v>
      </c>
      <c r="AC11" s="70">
        <v>0</v>
      </c>
      <c r="AD11" s="71">
        <f>AC11</f>
        <v>0</v>
      </c>
      <c r="AE11" s="70">
        <v>0</v>
      </c>
      <c r="AF11" s="70">
        <v>0</v>
      </c>
      <c r="AG11" s="70">
        <v>0</v>
      </c>
      <c r="AH11" s="70">
        <v>0</v>
      </c>
      <c r="AI11" s="71">
        <f>AH11</f>
        <v>0</v>
      </c>
      <c r="AJ11" s="70">
        <v>0</v>
      </c>
      <c r="AK11" s="70">
        <v>0</v>
      </c>
      <c r="AL11" s="70">
        <v>0</v>
      </c>
      <c r="AM11" s="70">
        <v>0</v>
      </c>
      <c r="AN11" s="71">
        <f>AM11</f>
        <v>0</v>
      </c>
      <c r="AO11" s="70">
        <v>0</v>
      </c>
      <c r="AP11" s="70">
        <v>0</v>
      </c>
      <c r="AQ11" s="70">
        <v>0</v>
      </c>
      <c r="AR11" s="70">
        <v>0</v>
      </c>
      <c r="AS11" s="71">
        <f>AR11</f>
        <v>0</v>
      </c>
      <c r="AT11" s="70">
        <v>0</v>
      </c>
      <c r="AU11" s="70">
        <v>0</v>
      </c>
      <c r="AV11" s="70">
        <v>0</v>
      </c>
      <c r="AW11" s="70">
        <v>0</v>
      </c>
      <c r="AX11" s="71">
        <f>AW11</f>
        <v>0</v>
      </c>
      <c r="AY11" s="64">
        <f>AX11</f>
        <v>0</v>
      </c>
      <c r="AZ11" s="64">
        <f t="shared" ref="AZ11:BL11" si="20">AY11</f>
        <v>0</v>
      </c>
      <c r="BA11" s="64">
        <f t="shared" si="20"/>
        <v>0</v>
      </c>
      <c r="BB11" s="64">
        <f t="shared" si="20"/>
        <v>0</v>
      </c>
      <c r="BC11" s="71">
        <f>BB11</f>
        <v>0</v>
      </c>
      <c r="BD11" s="64">
        <f>BC11</f>
        <v>0</v>
      </c>
      <c r="BE11" s="64">
        <f t="shared" ref="BE11" si="21">BD11</f>
        <v>0</v>
      </c>
      <c r="BF11" s="64">
        <f t="shared" ref="BF11" si="22">BE11</f>
        <v>0</v>
      </c>
      <c r="BG11" s="64">
        <f t="shared" ref="BG11" si="23">BF11</f>
        <v>0</v>
      </c>
      <c r="BH11" s="71">
        <f>BG11</f>
        <v>0</v>
      </c>
      <c r="BI11" s="72">
        <f t="shared" si="20"/>
        <v>0</v>
      </c>
      <c r="BJ11" s="72">
        <f t="shared" si="20"/>
        <v>0</v>
      </c>
      <c r="BK11" s="72">
        <f t="shared" si="20"/>
        <v>0</v>
      </c>
      <c r="BL11" s="72">
        <f t="shared" si="20"/>
        <v>0</v>
      </c>
    </row>
    <row r="12" spans="1:65" s="41" customFormat="1" ht="12.75" customHeight="1">
      <c r="C12" s="73" t="s">
        <v>17</v>
      </c>
      <c r="D12" s="73"/>
      <c r="E12" s="49">
        <f t="shared" ref="E12:Q12" si="24">SUM(E7:E11)</f>
        <v>3556</v>
      </c>
      <c r="F12" s="49">
        <f t="shared" si="24"/>
        <v>3556</v>
      </c>
      <c r="G12" s="49">
        <f t="shared" si="24"/>
        <v>3556</v>
      </c>
      <c r="H12" s="49">
        <f t="shared" si="24"/>
        <v>3556</v>
      </c>
      <c r="I12" s="49">
        <f t="shared" si="24"/>
        <v>3556</v>
      </c>
      <c r="J12" s="49">
        <f t="shared" si="24"/>
        <v>3556</v>
      </c>
      <c r="K12" s="49">
        <f t="shared" si="24"/>
        <v>3556</v>
      </c>
      <c r="L12" s="49">
        <f t="shared" si="24"/>
        <v>3556</v>
      </c>
      <c r="M12" s="49">
        <f t="shared" si="24"/>
        <v>3556</v>
      </c>
      <c r="N12" s="49">
        <f t="shared" si="24"/>
        <v>3556</v>
      </c>
      <c r="O12" s="49">
        <f t="shared" si="24"/>
        <v>3556</v>
      </c>
      <c r="P12" s="49">
        <f t="shared" si="24"/>
        <v>3556</v>
      </c>
      <c r="Q12" s="49">
        <f t="shared" si="24"/>
        <v>3556</v>
      </c>
      <c r="R12" s="49">
        <f t="shared" ref="R12" si="25">SUM(R7:R11)</f>
        <v>3556</v>
      </c>
      <c r="S12" s="49">
        <f t="shared" ref="S12:T12" si="26">SUM(S7:S11)</f>
        <v>3899</v>
      </c>
      <c r="T12" s="49">
        <f t="shared" si="26"/>
        <v>3889</v>
      </c>
      <c r="U12" s="41">
        <f t="shared" ref="U12:X12" si="27">SUM(U7:U11)</f>
        <v>4625</v>
      </c>
      <c r="V12" s="41">
        <f t="shared" si="27"/>
        <v>4440</v>
      </c>
      <c r="W12" s="41">
        <f t="shared" si="27"/>
        <v>3727</v>
      </c>
      <c r="X12" s="41">
        <f t="shared" si="27"/>
        <v>2657</v>
      </c>
      <c r="Y12" s="49">
        <f>SUM(Y7:Y11)</f>
        <v>2657</v>
      </c>
      <c r="Z12" s="41">
        <f t="shared" ref="Z12:BL12" si="28">SUM(Z7:Z11)</f>
        <v>4019</v>
      </c>
      <c r="AA12" s="41">
        <f t="shared" si="28"/>
        <v>4903</v>
      </c>
      <c r="AB12" s="41">
        <f t="shared" si="28"/>
        <v>4998</v>
      </c>
      <c r="AC12" s="41">
        <f t="shared" ref="AC12" si="29">SUM(AC7:AC11)</f>
        <v>4426</v>
      </c>
      <c r="AD12" s="49">
        <f>SUM(AD7:AD11)</f>
        <v>4426</v>
      </c>
      <c r="AE12" s="41">
        <f t="shared" si="28"/>
        <v>4253</v>
      </c>
      <c r="AF12" s="41">
        <f t="shared" si="28"/>
        <v>3632</v>
      </c>
      <c r="AG12" s="41">
        <f t="shared" si="28"/>
        <v>3495</v>
      </c>
      <c r="AH12" s="41">
        <f t="shared" si="28"/>
        <v>3547</v>
      </c>
      <c r="AI12" s="49">
        <f t="shared" ref="AI12:AN12" si="30">SUM(AI7:AI11)</f>
        <v>3547</v>
      </c>
      <c r="AJ12" s="41">
        <f t="shared" si="30"/>
        <v>3256</v>
      </c>
      <c r="AK12" s="41">
        <f t="shared" si="30"/>
        <v>3489</v>
      </c>
      <c r="AL12" s="41">
        <f t="shared" si="30"/>
        <v>3298</v>
      </c>
      <c r="AM12" s="41">
        <f t="shared" si="30"/>
        <v>3123</v>
      </c>
      <c r="AN12" s="49">
        <f t="shared" si="30"/>
        <v>3123</v>
      </c>
      <c r="AO12" s="41">
        <f t="shared" si="28"/>
        <v>2909</v>
      </c>
      <c r="AP12" s="41">
        <f t="shared" si="28"/>
        <v>3015</v>
      </c>
      <c r="AQ12" s="41">
        <f t="shared" si="28"/>
        <v>3172</v>
      </c>
      <c r="AR12" s="41">
        <f t="shared" si="28"/>
        <v>3232</v>
      </c>
      <c r="AS12" s="49">
        <f t="shared" si="28"/>
        <v>3232</v>
      </c>
      <c r="AT12" s="41">
        <f>SUM(AT7:AT11)</f>
        <v>3263</v>
      </c>
      <c r="AU12" s="41">
        <f>SUM(AU7:AU11)</f>
        <v>3018</v>
      </c>
      <c r="AV12" s="41">
        <f>SUM(AV7:AV11)</f>
        <v>3539</v>
      </c>
      <c r="AW12" s="41">
        <f>SUM(AW7:AW11)</f>
        <v>3059</v>
      </c>
      <c r="AX12" s="49">
        <f>SUM(AX7:AX11)</f>
        <v>3059</v>
      </c>
      <c r="AY12" s="41">
        <f t="shared" ca="1" si="28"/>
        <v>2806.6302037141304</v>
      </c>
      <c r="AZ12" s="41">
        <f t="shared" ca="1" si="28"/>
        <v>2815.2606996107647</v>
      </c>
      <c r="BA12" s="41">
        <f t="shared" ca="1" si="28"/>
        <v>2825.9013884056621</v>
      </c>
      <c r="BB12" s="41">
        <f t="shared" ca="1" si="28"/>
        <v>2837.3504364919236</v>
      </c>
      <c r="BC12" s="49">
        <f ca="1">SUM(BC7:BC11)</f>
        <v>2837.3504364919236</v>
      </c>
      <c r="BD12" s="41">
        <f t="shared" ref="BD12:BG12" ca="1" si="31">SUM(BD7:BD11)</f>
        <v>2845.6702936235906</v>
      </c>
      <c r="BE12" s="41">
        <f t="shared" ca="1" si="31"/>
        <v>2855.5654341153709</v>
      </c>
      <c r="BF12" s="41">
        <f t="shared" ca="1" si="31"/>
        <v>2866.8045319928688</v>
      </c>
      <c r="BG12" s="41">
        <f t="shared" ca="1" si="31"/>
        <v>2876.057445221762</v>
      </c>
      <c r="BH12" s="49">
        <f ca="1">SUM(BH7:BH11)</f>
        <v>2876.057445221762</v>
      </c>
      <c r="BI12" s="49">
        <f t="shared" ca="1" si="28"/>
        <v>2920.4945883015507</v>
      </c>
      <c r="BJ12" s="49">
        <f t="shared" ca="1" si="28"/>
        <v>2955.2391672805115</v>
      </c>
      <c r="BK12" s="49">
        <f t="shared" ca="1" si="28"/>
        <v>2996.3039506261221</v>
      </c>
      <c r="BL12" s="49">
        <f t="shared" ca="1" si="28"/>
        <v>3038.1900296386448</v>
      </c>
    </row>
    <row r="13" spans="1:65" s="38" customFormat="1" ht="12.75" customHeight="1"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Y13" s="50"/>
      <c r="AD13" s="50"/>
      <c r="AI13" s="50"/>
      <c r="AN13" s="50"/>
      <c r="AS13" s="50"/>
      <c r="AX13" s="50"/>
      <c r="BC13" s="50"/>
      <c r="BH13" s="50"/>
      <c r="BI13" s="50"/>
      <c r="BJ13" s="50"/>
      <c r="BK13" s="50"/>
      <c r="BL13" s="50"/>
    </row>
    <row r="14" spans="1:65" s="38" customFormat="1" ht="12.75" customHeight="1">
      <c r="C14" s="38" t="s">
        <v>182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Y14" s="50"/>
      <c r="AD14" s="50"/>
      <c r="AI14" s="50"/>
      <c r="AN14" s="50"/>
      <c r="AS14" s="50"/>
      <c r="AX14" s="50"/>
      <c r="BC14" s="50"/>
      <c r="BH14" s="50"/>
      <c r="BI14" s="50"/>
      <c r="BJ14" s="50"/>
      <c r="BK14" s="50"/>
      <c r="BL14" s="50"/>
    </row>
    <row r="15" spans="1:65" s="38" customFormat="1" ht="12.75" customHeight="1">
      <c r="C15" s="38" t="s">
        <v>183</v>
      </c>
      <c r="E15" s="48">
        <v>14574</v>
      </c>
      <c r="F15" s="48">
        <v>14574</v>
      </c>
      <c r="G15" s="48">
        <v>14574</v>
      </c>
      <c r="H15" s="48">
        <v>14574</v>
      </c>
      <c r="I15" s="48">
        <v>14574</v>
      </c>
      <c r="J15" s="48">
        <v>14574</v>
      </c>
      <c r="K15" s="48">
        <v>14574</v>
      </c>
      <c r="L15" s="48">
        <v>14574</v>
      </c>
      <c r="M15" s="48">
        <v>14574</v>
      </c>
      <c r="N15" s="48">
        <v>14574</v>
      </c>
      <c r="O15" s="48">
        <v>14574</v>
      </c>
      <c r="P15" s="48">
        <v>14574</v>
      </c>
      <c r="Q15" s="48">
        <v>14574</v>
      </c>
      <c r="R15" s="48">
        <v>14574</v>
      </c>
      <c r="S15" s="48">
        <v>15703</v>
      </c>
      <c r="T15" s="48">
        <v>17085</v>
      </c>
      <c r="U15" s="39">
        <v>17646</v>
      </c>
      <c r="V15" s="39">
        <v>15340</v>
      </c>
      <c r="W15" s="39">
        <v>11462</v>
      </c>
      <c r="X15" s="39">
        <v>7540</v>
      </c>
      <c r="Y15" s="51">
        <f t="shared" ref="Y15:Y22" si="32">X15</f>
        <v>7540</v>
      </c>
      <c r="Z15" s="39">
        <v>7919</v>
      </c>
      <c r="AA15" s="39">
        <v>9563</v>
      </c>
      <c r="AB15" s="39">
        <v>10122</v>
      </c>
      <c r="AC15" s="39">
        <v>10836</v>
      </c>
      <c r="AD15" s="51">
        <f t="shared" ref="AD15:AD21" si="33">AC15</f>
        <v>10836</v>
      </c>
      <c r="AE15" s="39">
        <v>12118</v>
      </c>
      <c r="AF15" s="39">
        <v>13962</v>
      </c>
      <c r="AG15" s="39">
        <v>13757</v>
      </c>
      <c r="AH15" s="39">
        <v>14281</v>
      </c>
      <c r="AI15" s="51">
        <f t="shared" ref="AI15:AI21" si="34">AH15</f>
        <v>14281</v>
      </c>
      <c r="AJ15" s="39">
        <v>15746</v>
      </c>
      <c r="AK15" s="39">
        <v>17833</v>
      </c>
      <c r="AL15" s="39">
        <v>17576</v>
      </c>
      <c r="AM15" s="39">
        <v>16806</v>
      </c>
      <c r="AN15" s="51">
        <f t="shared" ref="AN15:AN21" si="35">AM15</f>
        <v>16806</v>
      </c>
      <c r="AO15" s="39">
        <v>17052</v>
      </c>
      <c r="AP15" s="39">
        <v>18122</v>
      </c>
      <c r="AQ15" s="39">
        <v>13543</v>
      </c>
      <c r="AR15" s="39">
        <v>12714</v>
      </c>
      <c r="AS15" s="51">
        <f t="shared" ref="AS15:AS21" si="36">AR15</f>
        <v>12714</v>
      </c>
      <c r="AT15" s="39">
        <v>13139</v>
      </c>
      <c r="AU15" s="39">
        <v>14468</v>
      </c>
      <c r="AV15" s="39">
        <v>14023</v>
      </c>
      <c r="AW15" s="39">
        <v>14039</v>
      </c>
      <c r="AX15" s="51">
        <f t="shared" ref="AX15:AX21" si="37">AW15</f>
        <v>14039</v>
      </c>
      <c r="AY15" s="67"/>
      <c r="AZ15" s="67"/>
      <c r="BA15" s="67"/>
      <c r="BB15" s="67"/>
      <c r="BC15" s="51"/>
      <c r="BD15" s="67"/>
      <c r="BE15" s="67"/>
      <c r="BF15" s="67"/>
      <c r="BG15" s="67"/>
      <c r="BH15" s="51"/>
      <c r="BI15" s="68"/>
      <c r="BJ15" s="68"/>
      <c r="BK15" s="68"/>
      <c r="BL15" s="68"/>
    </row>
    <row r="16" spans="1:65" s="38" customFormat="1" ht="12.75" customHeight="1">
      <c r="C16" s="38" t="s">
        <v>184</v>
      </c>
      <c r="E16" s="69">
        <v>-3238</v>
      </c>
      <c r="F16" s="69">
        <v>-3238</v>
      </c>
      <c r="G16" s="69">
        <v>-3238</v>
      </c>
      <c r="H16" s="69">
        <v>-3238</v>
      </c>
      <c r="I16" s="69">
        <v>-3238</v>
      </c>
      <c r="J16" s="69">
        <v>-3238</v>
      </c>
      <c r="K16" s="69">
        <v>-3238</v>
      </c>
      <c r="L16" s="69">
        <v>-3238</v>
      </c>
      <c r="M16" s="69">
        <v>-3238</v>
      </c>
      <c r="N16" s="69">
        <v>-3238</v>
      </c>
      <c r="O16" s="69">
        <v>-3238</v>
      </c>
      <c r="P16" s="69">
        <v>-3238</v>
      </c>
      <c r="Q16" s="69">
        <v>-3238</v>
      </c>
      <c r="R16" s="69">
        <v>-3238</v>
      </c>
      <c r="S16" s="69">
        <v>-3284</v>
      </c>
      <c r="T16" s="69">
        <v>-3296</v>
      </c>
      <c r="U16" s="70">
        <v>-3337</v>
      </c>
      <c r="V16" s="70">
        <v>-3275</v>
      </c>
      <c r="W16" s="70">
        <v>-3011</v>
      </c>
      <c r="X16" s="70">
        <v>-1478</v>
      </c>
      <c r="Y16" s="71">
        <f t="shared" si="32"/>
        <v>-1478</v>
      </c>
      <c r="Z16" s="70">
        <v>-1559</v>
      </c>
      <c r="AA16" s="70">
        <v>-1573</v>
      </c>
      <c r="AB16" s="70">
        <v>-1559</v>
      </c>
      <c r="AC16" s="70">
        <v>-1610</v>
      </c>
      <c r="AD16" s="71">
        <f t="shared" si="33"/>
        <v>-1610</v>
      </c>
      <c r="AE16" s="70">
        <v>-1554</v>
      </c>
      <c r="AF16" s="70">
        <v>-1632</v>
      </c>
      <c r="AG16" s="70">
        <v>-1734</v>
      </c>
      <c r="AH16" s="70">
        <v>-1786</v>
      </c>
      <c r="AI16" s="71">
        <f t="shared" si="34"/>
        <v>-1786</v>
      </c>
      <c r="AJ16" s="70">
        <v>-1888</v>
      </c>
      <c r="AK16" s="70">
        <v>-1988</v>
      </c>
      <c r="AL16" s="70">
        <v>-2117</v>
      </c>
      <c r="AM16" s="70">
        <v>-2155</v>
      </c>
      <c r="AN16" s="71">
        <f t="shared" si="35"/>
        <v>-2155</v>
      </c>
      <c r="AO16" s="70">
        <v>-2435</v>
      </c>
      <c r="AP16" s="70">
        <v>-2753</v>
      </c>
      <c r="AQ16" s="70">
        <v>-308</v>
      </c>
      <c r="AR16" s="70">
        <v>-751</v>
      </c>
      <c r="AS16" s="71">
        <f t="shared" si="36"/>
        <v>-751</v>
      </c>
      <c r="AT16" s="70">
        <v>-986</v>
      </c>
      <c r="AU16" s="70">
        <v>-1173</v>
      </c>
      <c r="AV16" s="70">
        <v>-1330</v>
      </c>
      <c r="AW16" s="70">
        <v>-1513</v>
      </c>
      <c r="AX16" s="71">
        <f t="shared" si="37"/>
        <v>-1513</v>
      </c>
      <c r="AY16" s="64"/>
      <c r="AZ16" s="64"/>
      <c r="BA16" s="64"/>
      <c r="BB16" s="64"/>
      <c r="BC16" s="71"/>
      <c r="BD16" s="64"/>
      <c r="BE16" s="64"/>
      <c r="BF16" s="64"/>
      <c r="BG16" s="64"/>
      <c r="BH16" s="71"/>
      <c r="BI16" s="72"/>
      <c r="BJ16" s="72"/>
      <c r="BK16" s="72"/>
      <c r="BL16" s="72"/>
    </row>
    <row r="17" spans="1:64" s="38" customFormat="1" ht="12.75" customHeight="1">
      <c r="C17" s="38" t="s">
        <v>185</v>
      </c>
      <c r="E17" s="83">
        <f t="shared" ref="E17:Q17" si="38">E16+E15</f>
        <v>11336</v>
      </c>
      <c r="F17" s="83">
        <f t="shared" si="38"/>
        <v>11336</v>
      </c>
      <c r="G17" s="83">
        <f t="shared" si="38"/>
        <v>11336</v>
      </c>
      <c r="H17" s="83">
        <f t="shared" si="38"/>
        <v>11336</v>
      </c>
      <c r="I17" s="83">
        <f t="shared" si="38"/>
        <v>11336</v>
      </c>
      <c r="J17" s="83">
        <f t="shared" si="38"/>
        <v>11336</v>
      </c>
      <c r="K17" s="83">
        <f t="shared" si="38"/>
        <v>11336</v>
      </c>
      <c r="L17" s="83">
        <f t="shared" si="38"/>
        <v>11336</v>
      </c>
      <c r="M17" s="83">
        <f t="shared" si="38"/>
        <v>11336</v>
      </c>
      <c r="N17" s="83">
        <f t="shared" si="38"/>
        <v>11336</v>
      </c>
      <c r="O17" s="83">
        <f t="shared" si="38"/>
        <v>11336</v>
      </c>
      <c r="P17" s="83">
        <f t="shared" si="38"/>
        <v>11336</v>
      </c>
      <c r="Q17" s="83">
        <f t="shared" si="38"/>
        <v>11336</v>
      </c>
      <c r="R17" s="83">
        <f t="shared" ref="R17:V17" si="39">R16+R15</f>
        <v>11336</v>
      </c>
      <c r="S17" s="83">
        <f t="shared" si="39"/>
        <v>12419</v>
      </c>
      <c r="T17" s="83">
        <f t="shared" si="39"/>
        <v>13789</v>
      </c>
      <c r="U17" s="82">
        <f t="shared" ref="U17" si="40">U16+U15</f>
        <v>14309</v>
      </c>
      <c r="V17" s="82">
        <f t="shared" si="39"/>
        <v>12065</v>
      </c>
      <c r="W17" s="82">
        <f t="shared" ref="W17" si="41">W16+W15</f>
        <v>8451</v>
      </c>
      <c r="X17" s="82">
        <f t="shared" ref="X17:AB17" si="42">X16+X15</f>
        <v>6062</v>
      </c>
      <c r="Y17" s="51">
        <f t="shared" si="32"/>
        <v>6062</v>
      </c>
      <c r="Z17" s="82">
        <f t="shared" si="42"/>
        <v>6360</v>
      </c>
      <c r="AA17" s="82">
        <f t="shared" si="42"/>
        <v>7990</v>
      </c>
      <c r="AB17" s="82">
        <f t="shared" si="42"/>
        <v>8563</v>
      </c>
      <c r="AC17" s="82">
        <f t="shared" ref="AC17:AH17" si="43">AC16+AC15</f>
        <v>9226</v>
      </c>
      <c r="AD17" s="51">
        <f t="shared" si="33"/>
        <v>9226</v>
      </c>
      <c r="AE17" s="82">
        <f t="shared" si="43"/>
        <v>10564</v>
      </c>
      <c r="AF17" s="82">
        <f t="shared" si="43"/>
        <v>12330</v>
      </c>
      <c r="AG17" s="82">
        <f t="shared" si="43"/>
        <v>12023</v>
      </c>
      <c r="AH17" s="82">
        <f t="shared" si="43"/>
        <v>12495</v>
      </c>
      <c r="AI17" s="51">
        <f t="shared" si="34"/>
        <v>12495</v>
      </c>
      <c r="AJ17" s="82">
        <f>AJ16+AJ15</f>
        <v>13858</v>
      </c>
      <c r="AK17" s="82">
        <f>AK16+AK15</f>
        <v>15845</v>
      </c>
      <c r="AL17" s="82">
        <f>AL16+AL15</f>
        <v>15459</v>
      </c>
      <c r="AM17" s="82">
        <f t="shared" ref="AM17:AR17" si="44">AM16+AM15</f>
        <v>14651</v>
      </c>
      <c r="AN17" s="51">
        <f t="shared" si="35"/>
        <v>14651</v>
      </c>
      <c r="AO17" s="82">
        <f t="shared" si="44"/>
        <v>14617</v>
      </c>
      <c r="AP17" s="82">
        <f t="shared" si="44"/>
        <v>15369</v>
      </c>
      <c r="AQ17" s="82">
        <f t="shared" si="44"/>
        <v>13235</v>
      </c>
      <c r="AR17" s="82">
        <f t="shared" si="44"/>
        <v>11963</v>
      </c>
      <c r="AS17" s="51">
        <f t="shared" si="36"/>
        <v>11963</v>
      </c>
      <c r="AT17" s="82">
        <f>AT16+AT15</f>
        <v>12153</v>
      </c>
      <c r="AU17" s="82">
        <f>AU16+AU15</f>
        <v>13295</v>
      </c>
      <c r="AV17" s="82">
        <f>AV16+AV15</f>
        <v>12693</v>
      </c>
      <c r="AW17" s="82">
        <f>AW16+AW15</f>
        <v>12526</v>
      </c>
      <c r="AX17" s="51">
        <f t="shared" si="37"/>
        <v>12526</v>
      </c>
      <c r="AY17" s="67">
        <f>AX17-Y385-AY356</f>
        <v>12176.974</v>
      </c>
      <c r="AZ17" s="67">
        <f t="shared" ref="AZ17:BB17" si="45">AY17-Z385-AZ356</f>
        <v>11773.894</v>
      </c>
      <c r="BA17" s="67">
        <f t="shared" si="45"/>
        <v>11325.954</v>
      </c>
      <c r="BB17" s="67">
        <f t="shared" si="45"/>
        <v>10893.81</v>
      </c>
      <c r="BC17" s="51">
        <f>BB17</f>
        <v>10893.81</v>
      </c>
      <c r="BD17" s="67">
        <f t="shared" ref="BD17:BG17" si="46">BC17-AD385-BD356</f>
        <v>10508.84348</v>
      </c>
      <c r="BE17" s="67">
        <f t="shared" si="46"/>
        <v>10118.52188</v>
      </c>
      <c r="BF17" s="67">
        <f t="shared" si="46"/>
        <v>9682.4630799999995</v>
      </c>
      <c r="BG17" s="67">
        <f t="shared" si="46"/>
        <v>9262.1962000000003</v>
      </c>
      <c r="BH17" s="51">
        <f>BG17</f>
        <v>9262.1962000000003</v>
      </c>
      <c r="BI17" s="68">
        <f t="shared" ref="BI17:BL17" si="47">BH17-AI385-BI356</f>
        <v>7569.4501240000009</v>
      </c>
      <c r="BJ17" s="68">
        <f t="shared" si="47"/>
        <v>5734.8491264800005</v>
      </c>
      <c r="BK17" s="68">
        <f t="shared" si="47"/>
        <v>3895.6561090096002</v>
      </c>
      <c r="BL17" s="68">
        <f t="shared" si="47"/>
        <v>1968.1192311897921</v>
      </c>
    </row>
    <row r="18" spans="1:64" s="38" customFormat="1" ht="12.75" customHeight="1">
      <c r="C18" s="38" t="s">
        <v>186</v>
      </c>
      <c r="E18" s="48">
        <v>840</v>
      </c>
      <c r="F18" s="48">
        <v>840</v>
      </c>
      <c r="G18" s="48">
        <v>840</v>
      </c>
      <c r="H18" s="48">
        <v>840</v>
      </c>
      <c r="I18" s="48">
        <v>840</v>
      </c>
      <c r="J18" s="48">
        <v>840</v>
      </c>
      <c r="K18" s="48">
        <v>840</v>
      </c>
      <c r="L18" s="48">
        <v>840</v>
      </c>
      <c r="M18" s="48">
        <v>840</v>
      </c>
      <c r="N18" s="48">
        <v>840</v>
      </c>
      <c r="O18" s="48">
        <v>840</v>
      </c>
      <c r="P18" s="48">
        <v>840</v>
      </c>
      <c r="Q18" s="48">
        <v>840</v>
      </c>
      <c r="R18" s="48">
        <v>840</v>
      </c>
      <c r="S18" s="48">
        <v>778</v>
      </c>
      <c r="T18" s="48">
        <v>757</v>
      </c>
      <c r="U18" s="39">
        <v>765</v>
      </c>
      <c r="V18" s="39">
        <v>724</v>
      </c>
      <c r="W18" s="39">
        <v>699</v>
      </c>
      <c r="X18" s="39">
        <v>666</v>
      </c>
      <c r="Y18" s="51">
        <f t="shared" si="32"/>
        <v>666</v>
      </c>
      <c r="Z18" s="39">
        <v>637</v>
      </c>
      <c r="AA18" s="39">
        <v>618</v>
      </c>
      <c r="AB18" s="39">
        <v>609</v>
      </c>
      <c r="AC18" s="39">
        <v>608</v>
      </c>
      <c r="AD18" s="51">
        <f t="shared" si="33"/>
        <v>608</v>
      </c>
      <c r="AE18" s="39">
        <v>611</v>
      </c>
      <c r="AF18" s="39">
        <v>605</v>
      </c>
      <c r="AG18" s="39">
        <v>618</v>
      </c>
      <c r="AH18" s="39">
        <v>637</v>
      </c>
      <c r="AI18" s="51">
        <f t="shared" si="34"/>
        <v>637</v>
      </c>
      <c r="AJ18" s="39">
        <v>642</v>
      </c>
      <c r="AK18" s="39">
        <v>665</v>
      </c>
      <c r="AL18" s="39">
        <v>672</v>
      </c>
      <c r="AM18" s="39">
        <v>671</v>
      </c>
      <c r="AN18" s="51">
        <f t="shared" si="35"/>
        <v>671</v>
      </c>
      <c r="AO18" s="39">
        <v>667</v>
      </c>
      <c r="AP18" s="39">
        <v>670</v>
      </c>
      <c r="AQ18" s="39">
        <v>639</v>
      </c>
      <c r="AR18" s="39">
        <v>623</v>
      </c>
      <c r="AS18" s="51">
        <f t="shared" si="36"/>
        <v>623</v>
      </c>
      <c r="AT18" s="39">
        <v>595</v>
      </c>
      <c r="AU18" s="39">
        <v>586</v>
      </c>
      <c r="AV18" s="39">
        <v>570</v>
      </c>
      <c r="AW18" s="39">
        <v>566</v>
      </c>
      <c r="AX18" s="51">
        <f t="shared" si="37"/>
        <v>566</v>
      </c>
      <c r="AY18" s="67">
        <f>AX18-AY385-AY357</f>
        <v>561</v>
      </c>
      <c r="AZ18" s="67">
        <f>AY18-AZ385-AZ357</f>
        <v>557</v>
      </c>
      <c r="BA18" s="67">
        <f>AZ18-BA385-BA357</f>
        <v>553</v>
      </c>
      <c r="BB18" s="67">
        <f>BA18-BB385-BB357</f>
        <v>549</v>
      </c>
      <c r="BC18" s="51">
        <f t="shared" ref="BC18:BC21" si="48">BB18</f>
        <v>549</v>
      </c>
      <c r="BD18" s="67">
        <f>BC18-BD385-BD357</f>
        <v>544</v>
      </c>
      <c r="BE18" s="67">
        <f>BD18-BE385-BE357</f>
        <v>540</v>
      </c>
      <c r="BF18" s="67">
        <f>BE18-BF385-BF357</f>
        <v>536</v>
      </c>
      <c r="BG18" s="67">
        <f>BF18-BG385-BG357</f>
        <v>532</v>
      </c>
      <c r="BH18" s="51">
        <f t="shared" ref="BH18:BH21" si="49">BG18</f>
        <v>532</v>
      </c>
      <c r="BI18" s="68">
        <f>BH18-BI385-BI357</f>
        <v>515</v>
      </c>
      <c r="BJ18" s="68">
        <f>BI18-BJ385-BJ357</f>
        <v>498</v>
      </c>
      <c r="BK18" s="68">
        <f>BJ18-BK385-BK357</f>
        <v>481</v>
      </c>
      <c r="BL18" s="68">
        <f>BK18-BL385-BL357</f>
        <v>464</v>
      </c>
    </row>
    <row r="19" spans="1:64" s="38" customFormat="1" ht="12.75" customHeight="1">
      <c r="C19" s="38" t="s">
        <v>187</v>
      </c>
      <c r="E19" s="48">
        <v>0</v>
      </c>
      <c r="F19" s="48">
        <v>0</v>
      </c>
      <c r="G19" s="48">
        <v>0</v>
      </c>
      <c r="H19" s="48">
        <v>0</v>
      </c>
      <c r="I19" s="48">
        <v>0</v>
      </c>
      <c r="J19" s="48">
        <v>0</v>
      </c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1871</v>
      </c>
      <c r="U19" s="39">
        <v>1832</v>
      </c>
      <c r="V19" s="39">
        <v>1719</v>
      </c>
      <c r="W19" s="39">
        <v>1737</v>
      </c>
      <c r="X19" s="39">
        <v>1675</v>
      </c>
      <c r="Y19" s="51">
        <f t="shared" si="32"/>
        <v>1675</v>
      </c>
      <c r="Z19" s="39">
        <v>1580</v>
      </c>
      <c r="AA19" s="39">
        <v>1504</v>
      </c>
      <c r="AB19" s="39">
        <v>1453</v>
      </c>
      <c r="AC19" s="39">
        <v>1566</v>
      </c>
      <c r="AD19" s="51">
        <f t="shared" si="33"/>
        <v>1566</v>
      </c>
      <c r="AE19" s="39">
        <v>1566</v>
      </c>
      <c r="AF19" s="39">
        <v>1562</v>
      </c>
      <c r="AG19" s="39">
        <v>1632</v>
      </c>
      <c r="AH19" s="39">
        <v>1887</v>
      </c>
      <c r="AI19" s="51">
        <f t="shared" si="34"/>
        <v>1887</v>
      </c>
      <c r="AJ19" s="39">
        <v>2067</v>
      </c>
      <c r="AK19" s="39">
        <v>2169</v>
      </c>
      <c r="AL19" s="39">
        <v>2200</v>
      </c>
      <c r="AM19" s="39">
        <v>2253</v>
      </c>
      <c r="AN19" s="51">
        <f t="shared" si="35"/>
        <v>2253</v>
      </c>
      <c r="AO19" s="39">
        <v>2211</v>
      </c>
      <c r="AP19" s="39">
        <v>2229</v>
      </c>
      <c r="AQ19" s="39">
        <v>2033</v>
      </c>
      <c r="AR19" s="39">
        <v>2088</v>
      </c>
      <c r="AS19" s="51">
        <f t="shared" si="36"/>
        <v>2088</v>
      </c>
      <c r="AT19" s="39">
        <v>2140</v>
      </c>
      <c r="AU19" s="39">
        <v>2286</v>
      </c>
      <c r="AV19" s="39">
        <v>2288</v>
      </c>
      <c r="AW19" s="39">
        <v>2257</v>
      </c>
      <c r="AX19" s="51">
        <f t="shared" si="37"/>
        <v>2257</v>
      </c>
      <c r="AY19" s="67">
        <f>AX19</f>
        <v>2257</v>
      </c>
      <c r="AZ19" s="67">
        <f t="shared" ref="AZ19:BB20" si="50">AY19</f>
        <v>2257</v>
      </c>
      <c r="BA19" s="67">
        <f t="shared" si="50"/>
        <v>2257</v>
      </c>
      <c r="BB19" s="67">
        <f t="shared" si="50"/>
        <v>2257</v>
      </c>
      <c r="BC19" s="51">
        <f t="shared" ref="BC19" si="51">BB19</f>
        <v>2257</v>
      </c>
      <c r="BD19" s="67">
        <f>BC19</f>
        <v>2257</v>
      </c>
      <c r="BE19" s="67">
        <f t="shared" ref="BE19:BG20" si="52">BD19</f>
        <v>2257</v>
      </c>
      <c r="BF19" s="67">
        <f t="shared" si="52"/>
        <v>2257</v>
      </c>
      <c r="BG19" s="67">
        <f t="shared" si="52"/>
        <v>2257</v>
      </c>
      <c r="BH19" s="51">
        <f t="shared" ref="BH19" si="53">BG19</f>
        <v>2257</v>
      </c>
      <c r="BI19" s="68">
        <f>BH19</f>
        <v>2257</v>
      </c>
      <c r="BJ19" s="68">
        <f t="shared" ref="BJ19:BL20" si="54">BI19</f>
        <v>2257</v>
      </c>
      <c r="BK19" s="68">
        <f t="shared" si="54"/>
        <v>2257</v>
      </c>
      <c r="BL19" s="68">
        <f t="shared" si="54"/>
        <v>2257</v>
      </c>
    </row>
    <row r="20" spans="1:64" s="38" customFormat="1" ht="12.75" customHeight="1">
      <c r="C20" s="38" t="s">
        <v>188</v>
      </c>
      <c r="E20" s="48">
        <v>3242</v>
      </c>
      <c r="F20" s="48">
        <v>3242</v>
      </c>
      <c r="G20" s="48">
        <v>3242</v>
      </c>
      <c r="H20" s="48">
        <v>3242</v>
      </c>
      <c r="I20" s="48">
        <v>3242</v>
      </c>
      <c r="J20" s="48">
        <v>3242</v>
      </c>
      <c r="K20" s="48">
        <v>3242</v>
      </c>
      <c r="L20" s="48">
        <v>3242</v>
      </c>
      <c r="M20" s="48">
        <v>3242</v>
      </c>
      <c r="N20" s="48">
        <v>3242</v>
      </c>
      <c r="O20" s="48">
        <v>3242</v>
      </c>
      <c r="P20" s="48">
        <v>3242</v>
      </c>
      <c r="Q20" s="48">
        <v>3242</v>
      </c>
      <c r="R20" s="48">
        <v>3242</v>
      </c>
      <c r="S20" s="48">
        <v>3203</v>
      </c>
      <c r="T20" s="48">
        <v>3238</v>
      </c>
      <c r="U20" s="39">
        <v>3231</v>
      </c>
      <c r="V20" s="39">
        <v>3088</v>
      </c>
      <c r="W20" s="39">
        <v>3062</v>
      </c>
      <c r="X20" s="39">
        <v>2992</v>
      </c>
      <c r="Y20" s="51">
        <f t="shared" si="32"/>
        <v>2992</v>
      </c>
      <c r="Z20" s="39">
        <v>2969</v>
      </c>
      <c r="AA20" s="39">
        <v>2947</v>
      </c>
      <c r="AB20" s="39">
        <v>2925</v>
      </c>
      <c r="AC20" s="39">
        <v>2912</v>
      </c>
      <c r="AD20" s="51">
        <f t="shared" si="33"/>
        <v>2912</v>
      </c>
      <c r="AE20" s="39">
        <v>2903</v>
      </c>
      <c r="AF20" s="39">
        <v>2893</v>
      </c>
      <c r="AG20" s="39">
        <v>2883</v>
      </c>
      <c r="AH20" s="39">
        <v>2887</v>
      </c>
      <c r="AI20" s="51">
        <f t="shared" si="34"/>
        <v>2887</v>
      </c>
      <c r="AJ20" s="39">
        <v>2882</v>
      </c>
      <c r="AK20" s="39">
        <v>2883</v>
      </c>
      <c r="AL20" s="39">
        <v>2881</v>
      </c>
      <c r="AM20" s="39">
        <v>2863</v>
      </c>
      <c r="AN20" s="51">
        <f t="shared" si="35"/>
        <v>2863</v>
      </c>
      <c r="AO20" s="39">
        <v>2862</v>
      </c>
      <c r="AP20" s="39">
        <v>2858</v>
      </c>
      <c r="AQ20" s="39">
        <v>2856</v>
      </c>
      <c r="AR20" s="39">
        <v>2852</v>
      </c>
      <c r="AS20" s="51">
        <f t="shared" si="36"/>
        <v>2852</v>
      </c>
      <c r="AT20" s="39">
        <v>2852</v>
      </c>
      <c r="AU20" s="39">
        <v>2853</v>
      </c>
      <c r="AV20" s="39">
        <v>2855</v>
      </c>
      <c r="AW20" s="39">
        <v>2858</v>
      </c>
      <c r="AX20" s="51">
        <f t="shared" si="37"/>
        <v>2858</v>
      </c>
      <c r="AY20" s="67">
        <f>AX20</f>
        <v>2858</v>
      </c>
      <c r="AZ20" s="67">
        <f t="shared" si="50"/>
        <v>2858</v>
      </c>
      <c r="BA20" s="67">
        <f t="shared" si="50"/>
        <v>2858</v>
      </c>
      <c r="BB20" s="67">
        <f t="shared" si="50"/>
        <v>2858</v>
      </c>
      <c r="BC20" s="51">
        <f t="shared" si="48"/>
        <v>2858</v>
      </c>
      <c r="BD20" s="67">
        <f>BC20</f>
        <v>2858</v>
      </c>
      <c r="BE20" s="67">
        <f t="shared" si="52"/>
        <v>2858</v>
      </c>
      <c r="BF20" s="67">
        <f t="shared" si="52"/>
        <v>2858</v>
      </c>
      <c r="BG20" s="67">
        <f t="shared" si="52"/>
        <v>2858</v>
      </c>
      <c r="BH20" s="51">
        <f t="shared" si="49"/>
        <v>2858</v>
      </c>
      <c r="BI20" s="68">
        <f>BH20</f>
        <v>2858</v>
      </c>
      <c r="BJ20" s="68">
        <f t="shared" si="54"/>
        <v>2858</v>
      </c>
      <c r="BK20" s="68">
        <f t="shared" si="54"/>
        <v>2858</v>
      </c>
      <c r="BL20" s="68">
        <f t="shared" si="54"/>
        <v>2858</v>
      </c>
    </row>
    <row r="21" spans="1:64" s="38" customFormat="1" ht="12.75" customHeight="1">
      <c r="C21" s="38" t="s">
        <v>15</v>
      </c>
      <c r="E21" s="48">
        <v>1084</v>
      </c>
      <c r="F21" s="48">
        <v>1084</v>
      </c>
      <c r="G21" s="48">
        <v>1084</v>
      </c>
      <c r="H21" s="48">
        <v>1084</v>
      </c>
      <c r="I21" s="48">
        <v>1084</v>
      </c>
      <c r="J21" s="48">
        <v>1084</v>
      </c>
      <c r="K21" s="48">
        <v>1084</v>
      </c>
      <c r="L21" s="48">
        <v>1084</v>
      </c>
      <c r="M21" s="48">
        <v>1084</v>
      </c>
      <c r="N21" s="48">
        <v>1084</v>
      </c>
      <c r="O21" s="48">
        <v>1084</v>
      </c>
      <c r="P21" s="48">
        <v>1084</v>
      </c>
      <c r="Q21" s="48">
        <v>1084</v>
      </c>
      <c r="R21" s="48">
        <v>1084</v>
      </c>
      <c r="S21" s="48">
        <v>1083</v>
      </c>
      <c r="T21" s="48">
        <v>1083</v>
      </c>
      <c r="U21" s="39">
        <v>1080</v>
      </c>
      <c r="V21" s="39">
        <v>1080</v>
      </c>
      <c r="W21" s="39">
        <v>1081</v>
      </c>
      <c r="X21" s="39">
        <v>1045</v>
      </c>
      <c r="Y21" s="51">
        <f t="shared" si="32"/>
        <v>1045</v>
      </c>
      <c r="Z21" s="39">
        <v>1045</v>
      </c>
      <c r="AA21" s="39">
        <v>1045</v>
      </c>
      <c r="AB21" s="39">
        <v>1045</v>
      </c>
      <c r="AC21" s="39">
        <v>1045</v>
      </c>
      <c r="AD21" s="51">
        <f t="shared" si="33"/>
        <v>1045</v>
      </c>
      <c r="AE21" s="39">
        <v>1044</v>
      </c>
      <c r="AF21" s="39">
        <v>1044</v>
      </c>
      <c r="AG21" s="39">
        <v>1043</v>
      </c>
      <c r="AH21" s="39">
        <v>1044</v>
      </c>
      <c r="AI21" s="51">
        <f t="shared" si="34"/>
        <v>1044</v>
      </c>
      <c r="AJ21" s="39">
        <v>1044</v>
      </c>
      <c r="AK21" s="39">
        <v>1044</v>
      </c>
      <c r="AL21" s="39">
        <v>1044</v>
      </c>
      <c r="AM21" s="39">
        <v>1044</v>
      </c>
      <c r="AN21" s="51">
        <f t="shared" si="35"/>
        <v>1044</v>
      </c>
      <c r="AO21" s="39">
        <v>1044</v>
      </c>
      <c r="AP21" s="39">
        <v>1044</v>
      </c>
      <c r="AQ21" s="39">
        <v>1044</v>
      </c>
      <c r="AR21" s="39">
        <v>1044</v>
      </c>
      <c r="AS21" s="51">
        <f t="shared" si="36"/>
        <v>1044</v>
      </c>
      <c r="AT21" s="39">
        <v>1044</v>
      </c>
      <c r="AU21" s="39">
        <v>1045</v>
      </c>
      <c r="AV21" s="39">
        <v>1045</v>
      </c>
      <c r="AW21" s="39">
        <v>1045</v>
      </c>
      <c r="AX21" s="51">
        <f t="shared" si="37"/>
        <v>1045</v>
      </c>
      <c r="AY21" s="67">
        <f>AX21</f>
        <v>1045</v>
      </c>
      <c r="AZ21" s="67">
        <f t="shared" ref="AZ21:BB21" si="55">AY21</f>
        <v>1045</v>
      </c>
      <c r="BA21" s="67">
        <f t="shared" si="55"/>
        <v>1045</v>
      </c>
      <c r="BB21" s="67">
        <f t="shared" si="55"/>
        <v>1045</v>
      </c>
      <c r="BC21" s="51">
        <f t="shared" si="48"/>
        <v>1045</v>
      </c>
      <c r="BD21" s="67">
        <f>BC21</f>
        <v>1045</v>
      </c>
      <c r="BE21" s="67">
        <f t="shared" ref="BE21:BG21" si="56">BD21</f>
        <v>1045</v>
      </c>
      <c r="BF21" s="67">
        <f t="shared" si="56"/>
        <v>1045</v>
      </c>
      <c r="BG21" s="67">
        <f t="shared" si="56"/>
        <v>1045</v>
      </c>
      <c r="BH21" s="51">
        <f t="shared" si="49"/>
        <v>1045</v>
      </c>
      <c r="BI21" s="68">
        <f t="shared" ref="BI21:BL21" si="57">BH21</f>
        <v>1045</v>
      </c>
      <c r="BJ21" s="68">
        <f t="shared" si="57"/>
        <v>1045</v>
      </c>
      <c r="BK21" s="68">
        <f t="shared" si="57"/>
        <v>1045</v>
      </c>
      <c r="BL21" s="68">
        <f t="shared" si="57"/>
        <v>1045</v>
      </c>
    </row>
    <row r="22" spans="1:64" s="38" customFormat="1" ht="12.75" customHeight="1">
      <c r="C22" s="38" t="s">
        <v>242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39"/>
      <c r="V22" s="39"/>
      <c r="W22" s="39"/>
      <c r="X22" s="39">
        <v>1811</v>
      </c>
      <c r="Y22" s="51">
        <f t="shared" si="32"/>
        <v>1811</v>
      </c>
      <c r="Z22" s="39">
        <v>0</v>
      </c>
      <c r="AA22" s="39">
        <v>0</v>
      </c>
      <c r="AB22" s="39"/>
      <c r="AC22" s="39"/>
      <c r="AD22" s="51"/>
      <c r="AE22" s="39"/>
      <c r="AF22" s="39"/>
      <c r="AG22" s="39"/>
      <c r="AH22" s="39"/>
      <c r="AI22" s="51"/>
      <c r="AJ22" s="39"/>
      <c r="AK22" s="39"/>
      <c r="AL22" s="39"/>
      <c r="AM22" s="39"/>
      <c r="AN22" s="51"/>
      <c r="AO22" s="39"/>
      <c r="AP22" s="39"/>
      <c r="AQ22" s="39"/>
      <c r="AR22" s="39"/>
      <c r="AS22" s="51"/>
      <c r="AT22" s="39"/>
      <c r="AU22" s="39"/>
      <c r="AV22" s="39"/>
      <c r="AW22" s="39"/>
      <c r="AX22" s="51"/>
      <c r="AY22" s="67"/>
      <c r="AZ22" s="67"/>
      <c r="BA22" s="67"/>
      <c r="BB22" s="67"/>
      <c r="BC22" s="51"/>
      <c r="BD22" s="67"/>
      <c r="BE22" s="67"/>
      <c r="BF22" s="67"/>
      <c r="BG22" s="67"/>
      <c r="BH22" s="51"/>
      <c r="BI22" s="68"/>
      <c r="BJ22" s="68"/>
      <c r="BK22" s="68"/>
      <c r="BL22" s="68"/>
    </row>
    <row r="23" spans="1:64" s="41" customFormat="1" ht="12.75" customHeight="1">
      <c r="C23" s="73" t="s">
        <v>18</v>
      </c>
      <c r="D23" s="73"/>
      <c r="E23" s="49">
        <f t="shared" ref="E23:Q23" si="58">SUM(E17:E22)+E12</f>
        <v>20058</v>
      </c>
      <c r="F23" s="49">
        <f t="shared" si="58"/>
        <v>20058</v>
      </c>
      <c r="G23" s="49">
        <f t="shared" si="58"/>
        <v>20058</v>
      </c>
      <c r="H23" s="49">
        <f t="shared" si="58"/>
        <v>20058</v>
      </c>
      <c r="I23" s="49">
        <f t="shared" si="58"/>
        <v>20058</v>
      </c>
      <c r="J23" s="49">
        <f t="shared" si="58"/>
        <v>20058</v>
      </c>
      <c r="K23" s="49">
        <f t="shared" si="58"/>
        <v>20058</v>
      </c>
      <c r="L23" s="49">
        <f t="shared" si="58"/>
        <v>20058</v>
      </c>
      <c r="M23" s="49">
        <f t="shared" si="58"/>
        <v>20058</v>
      </c>
      <c r="N23" s="49">
        <f t="shared" si="58"/>
        <v>20058</v>
      </c>
      <c r="O23" s="49">
        <f t="shared" si="58"/>
        <v>20058</v>
      </c>
      <c r="P23" s="49">
        <f t="shared" si="58"/>
        <v>20058</v>
      </c>
      <c r="Q23" s="49">
        <f t="shared" si="58"/>
        <v>20058</v>
      </c>
      <c r="R23" s="49">
        <f t="shared" ref="R23:Y23" si="59">SUM(R17:R22)+R12</f>
        <v>20058</v>
      </c>
      <c r="S23" s="49">
        <f t="shared" si="59"/>
        <v>21382</v>
      </c>
      <c r="T23" s="49">
        <f t="shared" si="59"/>
        <v>24627</v>
      </c>
      <c r="U23" s="41">
        <f t="shared" si="59"/>
        <v>25842</v>
      </c>
      <c r="V23" s="41">
        <f t="shared" si="59"/>
        <v>23116</v>
      </c>
      <c r="W23" s="41">
        <f t="shared" si="59"/>
        <v>18757</v>
      </c>
      <c r="X23" s="41">
        <f t="shared" si="59"/>
        <v>16908</v>
      </c>
      <c r="Y23" s="49">
        <f t="shared" si="59"/>
        <v>16908</v>
      </c>
      <c r="Z23" s="41">
        <f>SUM(Z17:Z22)+Z12</f>
        <v>16610</v>
      </c>
      <c r="AA23" s="41">
        <f t="shared" ref="AA23:BL23" si="60">SUM(AA17:AA22)+AA12</f>
        <v>19007</v>
      </c>
      <c r="AB23" s="41">
        <f t="shared" si="60"/>
        <v>19593</v>
      </c>
      <c r="AC23" s="41">
        <f t="shared" si="60"/>
        <v>19783</v>
      </c>
      <c r="AD23" s="49">
        <f t="shared" si="60"/>
        <v>19783</v>
      </c>
      <c r="AE23" s="41">
        <f t="shared" si="60"/>
        <v>20941</v>
      </c>
      <c r="AF23" s="41">
        <f t="shared" si="60"/>
        <v>22066</v>
      </c>
      <c r="AG23" s="41">
        <f t="shared" si="60"/>
        <v>21694</v>
      </c>
      <c r="AH23" s="41">
        <f t="shared" si="60"/>
        <v>22497</v>
      </c>
      <c r="AI23" s="49">
        <f t="shared" si="60"/>
        <v>22497</v>
      </c>
      <c r="AJ23" s="41">
        <f t="shared" si="60"/>
        <v>23749</v>
      </c>
      <c r="AK23" s="41">
        <f t="shared" si="60"/>
        <v>26095</v>
      </c>
      <c r="AL23" s="41">
        <f t="shared" si="60"/>
        <v>25554</v>
      </c>
      <c r="AM23" s="41">
        <f t="shared" si="60"/>
        <v>24605</v>
      </c>
      <c r="AN23" s="49">
        <f t="shared" si="60"/>
        <v>24605</v>
      </c>
      <c r="AO23" s="41">
        <f t="shared" si="60"/>
        <v>24310</v>
      </c>
      <c r="AP23" s="41">
        <f t="shared" si="60"/>
        <v>25185</v>
      </c>
      <c r="AQ23" s="41">
        <f t="shared" si="60"/>
        <v>22979</v>
      </c>
      <c r="AR23" s="41">
        <f t="shared" si="60"/>
        <v>21802</v>
      </c>
      <c r="AS23" s="49">
        <f t="shared" si="60"/>
        <v>21802</v>
      </c>
      <c r="AT23" s="41">
        <f t="shared" si="60"/>
        <v>22047</v>
      </c>
      <c r="AU23" s="41">
        <f t="shared" si="60"/>
        <v>23083</v>
      </c>
      <c r="AV23" s="41">
        <f t="shared" si="60"/>
        <v>22990</v>
      </c>
      <c r="AW23" s="41">
        <f t="shared" si="60"/>
        <v>22311</v>
      </c>
      <c r="AX23" s="49">
        <f t="shared" si="60"/>
        <v>22311</v>
      </c>
      <c r="AY23" s="41">
        <f t="shared" ca="1" si="60"/>
        <v>21704.604203714131</v>
      </c>
      <c r="AZ23" s="41">
        <f t="shared" ca="1" si="60"/>
        <v>21306.154699610765</v>
      </c>
      <c r="BA23" s="41">
        <f t="shared" ca="1" si="60"/>
        <v>20864.85538840566</v>
      </c>
      <c r="BB23" s="41">
        <f t="shared" ca="1" si="60"/>
        <v>20440.160436491922</v>
      </c>
      <c r="BC23" s="49">
        <f t="shared" ref="BC23" ca="1" si="61">SUM(BC17:BC22)+BC12</f>
        <v>20440.160436491922</v>
      </c>
      <c r="BD23" s="41">
        <f t="shared" ref="BD23:BH23" ca="1" si="62">SUM(BD17:BD22)+BD12</f>
        <v>20058.513773623592</v>
      </c>
      <c r="BE23" s="41">
        <f t="shared" ca="1" si="62"/>
        <v>19674.087314115372</v>
      </c>
      <c r="BF23" s="41">
        <f t="shared" ca="1" si="62"/>
        <v>19245.267611992869</v>
      </c>
      <c r="BG23" s="41">
        <f t="shared" ca="1" si="62"/>
        <v>18830.253645221761</v>
      </c>
      <c r="BH23" s="49">
        <f t="shared" ca="1" si="62"/>
        <v>18830.253645221761</v>
      </c>
      <c r="BI23" s="49">
        <f t="shared" ca="1" si="60"/>
        <v>17164.944712301552</v>
      </c>
      <c r="BJ23" s="49">
        <f t="shared" ca="1" si="60"/>
        <v>15348.088293760511</v>
      </c>
      <c r="BK23" s="49">
        <f t="shared" ca="1" si="60"/>
        <v>13532.960059635723</v>
      </c>
      <c r="BL23" s="49">
        <f t="shared" ca="1" si="60"/>
        <v>11630.309260828437</v>
      </c>
    </row>
    <row r="24" spans="1:64" s="41" customFormat="1" ht="12.75" customHeight="1">
      <c r="C24" s="73"/>
      <c r="D24" s="73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Y24" s="49"/>
      <c r="AD24" s="49"/>
      <c r="AI24" s="49"/>
      <c r="AN24" s="49"/>
      <c r="AS24" s="49"/>
      <c r="AX24" s="49"/>
      <c r="BC24" s="49"/>
      <c r="BH24" s="49"/>
      <c r="BI24" s="49"/>
      <c r="BJ24" s="49"/>
      <c r="BK24" s="49"/>
      <c r="BL24" s="49"/>
    </row>
    <row r="25" spans="1:64" s="38" customFormat="1" ht="12.75" customHeight="1">
      <c r="A25" s="41"/>
      <c r="B25" s="41" t="s">
        <v>16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Y25" s="50"/>
      <c r="AD25" s="50"/>
      <c r="AI25" s="50"/>
      <c r="AN25" s="50"/>
      <c r="AS25" s="50"/>
      <c r="AX25" s="50"/>
      <c r="BC25" s="50"/>
      <c r="BH25" s="50"/>
      <c r="BI25" s="50"/>
      <c r="BJ25" s="50"/>
      <c r="BK25" s="50"/>
      <c r="BL25" s="50"/>
    </row>
    <row r="26" spans="1:64" s="38" customFormat="1" ht="12.75" customHeight="1">
      <c r="C26" s="38" t="s">
        <v>89</v>
      </c>
      <c r="E26" s="48">
        <v>946</v>
      </c>
      <c r="F26" s="48">
        <v>946</v>
      </c>
      <c r="G26" s="48">
        <v>946</v>
      </c>
      <c r="H26" s="48">
        <v>946</v>
      </c>
      <c r="I26" s="48">
        <v>946</v>
      </c>
      <c r="J26" s="48">
        <v>946</v>
      </c>
      <c r="K26" s="48">
        <v>946</v>
      </c>
      <c r="L26" s="48">
        <v>946</v>
      </c>
      <c r="M26" s="48">
        <v>946</v>
      </c>
      <c r="N26" s="48">
        <v>946</v>
      </c>
      <c r="O26" s="48">
        <v>946</v>
      </c>
      <c r="P26" s="48">
        <v>946</v>
      </c>
      <c r="Q26" s="48">
        <v>946</v>
      </c>
      <c r="R26" s="48">
        <v>946</v>
      </c>
      <c r="S26" s="48">
        <v>988</v>
      </c>
      <c r="T26" s="48">
        <v>943</v>
      </c>
      <c r="U26" s="39">
        <v>998</v>
      </c>
      <c r="V26" s="39">
        <v>516</v>
      </c>
      <c r="W26" s="39">
        <v>585</v>
      </c>
      <c r="X26" s="39">
        <v>418</v>
      </c>
      <c r="Y26" s="51">
        <f t="shared" ref="Y26:Y36" si="63">X26</f>
        <v>418</v>
      </c>
      <c r="Z26" s="39">
        <v>531</v>
      </c>
      <c r="AA26" s="39">
        <v>780</v>
      </c>
      <c r="AB26" s="39">
        <v>586</v>
      </c>
      <c r="AC26" s="39">
        <v>572</v>
      </c>
      <c r="AD26" s="51">
        <f t="shared" ref="AD26:AD34" si="64">AC26</f>
        <v>572</v>
      </c>
      <c r="AE26" s="39">
        <v>675</v>
      </c>
      <c r="AF26" s="39">
        <v>659</v>
      </c>
      <c r="AG26" s="39">
        <v>614</v>
      </c>
      <c r="AH26" s="39">
        <v>657</v>
      </c>
      <c r="AI26" s="51">
        <f t="shared" ref="AI26:AI34" si="65">AH26</f>
        <v>657</v>
      </c>
      <c r="AJ26" s="39">
        <v>720</v>
      </c>
      <c r="AK26" s="39">
        <v>935</v>
      </c>
      <c r="AL26" s="39">
        <v>790</v>
      </c>
      <c r="AM26" s="39">
        <v>701</v>
      </c>
      <c r="AN26" s="51">
        <f t="shared" ref="AN26:AN34" si="66">AM26</f>
        <v>701</v>
      </c>
      <c r="AO26" s="39">
        <v>1134</v>
      </c>
      <c r="AP26" s="39">
        <v>995</v>
      </c>
      <c r="AQ26" s="39">
        <v>624</v>
      </c>
      <c r="AR26" s="39">
        <v>642</v>
      </c>
      <c r="AS26" s="51">
        <f t="shared" ref="AS26:AS34" si="67">AR26</f>
        <v>642</v>
      </c>
      <c r="AT26" s="39">
        <v>861</v>
      </c>
      <c r="AU26" s="39">
        <v>898</v>
      </c>
      <c r="AV26" s="39">
        <v>830</v>
      </c>
      <c r="AW26" s="39">
        <v>859</v>
      </c>
      <c r="AX26" s="51">
        <f t="shared" ref="AX26:AX34" si="68">AW26</f>
        <v>859</v>
      </c>
      <c r="AY26" s="67">
        <f>AY54*AY58</f>
        <v>864.73432610488248</v>
      </c>
      <c r="AZ26" s="67">
        <f t="shared" ref="AZ26:BB26" si="69">AZ54*AZ58</f>
        <v>868.6527172122868</v>
      </c>
      <c r="BA26" s="67">
        <f t="shared" si="69"/>
        <v>873.48376989453698</v>
      </c>
      <c r="BB26" s="67">
        <f t="shared" si="69"/>
        <v>878.68183136710479</v>
      </c>
      <c r="BC26" s="51">
        <f t="shared" ref="AZ26:BL34" si="70">BB26</f>
        <v>878.68183136710479</v>
      </c>
      <c r="BD26" s="67">
        <f t="shared" ref="BD26:BG26" si="71">BD54*BD58</f>
        <v>882.45918722128158</v>
      </c>
      <c r="BE26" s="67">
        <f t="shared" si="71"/>
        <v>886.95174836421972</v>
      </c>
      <c r="BF26" s="67">
        <f t="shared" si="71"/>
        <v>892.05448889105389</v>
      </c>
      <c r="BG26" s="67">
        <f t="shared" si="71"/>
        <v>896.25546799444703</v>
      </c>
      <c r="BH26" s="51">
        <f t="shared" ref="BG26:BH34" si="72">BG26</f>
        <v>896.25546799444703</v>
      </c>
      <c r="BI26" s="68">
        <f t="shared" ref="BI26:BL26" si="73">BI54*BI58</f>
        <v>916.43068253225817</v>
      </c>
      <c r="BJ26" s="68">
        <f t="shared" si="73"/>
        <v>932.20530903486247</v>
      </c>
      <c r="BK26" s="68">
        <f t="shared" si="73"/>
        <v>950.84941521555993</v>
      </c>
      <c r="BL26" s="68">
        <f t="shared" si="73"/>
        <v>969.86640351987126</v>
      </c>
    </row>
    <row r="27" spans="1:64" s="38" customFormat="1" ht="12.75" customHeight="1">
      <c r="C27" s="38" t="s">
        <v>191</v>
      </c>
      <c r="E27" s="48">
        <v>920</v>
      </c>
      <c r="F27" s="48">
        <v>920</v>
      </c>
      <c r="G27" s="48">
        <v>920</v>
      </c>
      <c r="H27" s="48">
        <v>920</v>
      </c>
      <c r="I27" s="48">
        <v>920</v>
      </c>
      <c r="J27" s="48">
        <v>920</v>
      </c>
      <c r="K27" s="48">
        <v>920</v>
      </c>
      <c r="L27" s="48">
        <v>920</v>
      </c>
      <c r="M27" s="48">
        <v>920</v>
      </c>
      <c r="N27" s="48">
        <v>920</v>
      </c>
      <c r="O27" s="48">
        <v>920</v>
      </c>
      <c r="P27" s="48">
        <v>920</v>
      </c>
      <c r="Q27" s="48">
        <v>920</v>
      </c>
      <c r="R27" s="48">
        <v>920</v>
      </c>
      <c r="S27" s="48">
        <v>1304</v>
      </c>
      <c r="T27" s="48">
        <v>1032</v>
      </c>
      <c r="U27" s="39">
        <v>982</v>
      </c>
      <c r="V27" s="39">
        <v>836</v>
      </c>
      <c r="W27" s="39">
        <v>810</v>
      </c>
      <c r="X27" s="39">
        <v>759</v>
      </c>
      <c r="Y27" s="51">
        <f t="shared" si="63"/>
        <v>759</v>
      </c>
      <c r="Z27" s="39">
        <v>824</v>
      </c>
      <c r="AA27" s="39">
        <v>945</v>
      </c>
      <c r="AB27" s="39">
        <v>904</v>
      </c>
      <c r="AC27" s="39">
        <v>863</v>
      </c>
      <c r="AD27" s="51">
        <f t="shared" si="64"/>
        <v>863</v>
      </c>
      <c r="AE27" s="39">
        <v>939</v>
      </c>
      <c r="AF27" s="39">
        <v>1048</v>
      </c>
      <c r="AG27" s="39">
        <v>955</v>
      </c>
      <c r="AH27" s="39">
        <v>911</v>
      </c>
      <c r="AI27" s="51">
        <f t="shared" si="65"/>
        <v>911</v>
      </c>
      <c r="AJ27" s="39">
        <v>926</v>
      </c>
      <c r="AK27" s="39">
        <v>971</v>
      </c>
      <c r="AL27" s="39">
        <v>896</v>
      </c>
      <c r="AM27" s="39">
        <v>860</v>
      </c>
      <c r="AN27" s="51">
        <f t="shared" si="66"/>
        <v>860</v>
      </c>
      <c r="AO27" s="39">
        <v>883</v>
      </c>
      <c r="AP27" s="39">
        <v>931</v>
      </c>
      <c r="AQ27" s="39">
        <v>1176</v>
      </c>
      <c r="AR27" s="39">
        <v>1174</v>
      </c>
      <c r="AS27" s="51">
        <f t="shared" si="67"/>
        <v>1174</v>
      </c>
      <c r="AT27" s="39">
        <v>1191</v>
      </c>
      <c r="AU27" s="39">
        <v>1336</v>
      </c>
      <c r="AV27" s="39">
        <v>1257</v>
      </c>
      <c r="AW27" s="39">
        <v>1231</v>
      </c>
      <c r="AX27" s="51">
        <f t="shared" si="68"/>
        <v>1231</v>
      </c>
      <c r="AY27" s="67">
        <f>AY54*AY59</f>
        <v>1239.2176431142148</v>
      </c>
      <c r="AZ27" s="67">
        <f t="shared" ref="AZ27:BB27" si="74">AZ54*AZ59</f>
        <v>1244.8329393344879</v>
      </c>
      <c r="BA27" s="67">
        <f t="shared" si="74"/>
        <v>1251.7561359024155</v>
      </c>
      <c r="BB27" s="67">
        <f t="shared" si="74"/>
        <v>1259.2052787111829</v>
      </c>
      <c r="BC27" s="51">
        <f t="shared" si="70"/>
        <v>1259.2052787111829</v>
      </c>
      <c r="BD27" s="67">
        <f t="shared" ref="BD27:BG27" si="75">BD54*BD59</f>
        <v>1264.6184627117552</v>
      </c>
      <c r="BE27" s="67">
        <f t="shared" si="75"/>
        <v>1271.0565800190391</v>
      </c>
      <c r="BF27" s="67">
        <f t="shared" si="75"/>
        <v>1278.3691220313008</v>
      </c>
      <c r="BG27" s="67">
        <f t="shared" si="75"/>
        <v>1284.3893842854068</v>
      </c>
      <c r="BH27" s="51">
        <f t="shared" si="72"/>
        <v>1284.3893842854068</v>
      </c>
      <c r="BI27" s="68">
        <f t="shared" ref="BI27:BL27" si="76">BI54*BI59</f>
        <v>1313.3017115217808</v>
      </c>
      <c r="BJ27" s="68">
        <f t="shared" si="76"/>
        <v>1335.9077245889589</v>
      </c>
      <c r="BK27" s="68">
        <f t="shared" si="76"/>
        <v>1362.6258790807385</v>
      </c>
      <c r="BL27" s="68">
        <f t="shared" si="76"/>
        <v>1389.8783966623535</v>
      </c>
    </row>
    <row r="28" spans="1:64" s="38" customFormat="1" ht="12.75" customHeight="1">
      <c r="C28" s="38" t="s">
        <v>192</v>
      </c>
      <c r="E28" s="48">
        <v>160</v>
      </c>
      <c r="F28" s="48">
        <v>160</v>
      </c>
      <c r="G28" s="48">
        <v>160</v>
      </c>
      <c r="H28" s="48">
        <v>160</v>
      </c>
      <c r="I28" s="48">
        <v>160</v>
      </c>
      <c r="J28" s="48">
        <v>160</v>
      </c>
      <c r="K28" s="48">
        <v>160</v>
      </c>
      <c r="L28" s="48">
        <v>160</v>
      </c>
      <c r="M28" s="48">
        <v>160</v>
      </c>
      <c r="N28" s="48">
        <v>160</v>
      </c>
      <c r="O28" s="48">
        <v>160</v>
      </c>
      <c r="P28" s="48">
        <v>160</v>
      </c>
      <c r="Q28" s="48">
        <v>160</v>
      </c>
      <c r="R28" s="48">
        <v>160</v>
      </c>
      <c r="S28" s="48">
        <v>136</v>
      </c>
      <c r="T28" s="48">
        <v>150</v>
      </c>
      <c r="U28" s="39">
        <v>133</v>
      </c>
      <c r="V28" s="39">
        <v>97</v>
      </c>
      <c r="W28" s="39">
        <v>119</v>
      </c>
      <c r="X28" s="39">
        <v>121</v>
      </c>
      <c r="Y28" s="51">
        <f t="shared" si="63"/>
        <v>121</v>
      </c>
      <c r="Z28" s="39">
        <v>161</v>
      </c>
      <c r="AA28" s="39">
        <v>232</v>
      </c>
      <c r="AB28" s="39">
        <v>228</v>
      </c>
      <c r="AC28" s="39">
        <v>157</v>
      </c>
      <c r="AD28" s="51">
        <f t="shared" si="64"/>
        <v>157</v>
      </c>
      <c r="AE28" s="39">
        <v>188</v>
      </c>
      <c r="AF28" s="39">
        <v>206</v>
      </c>
      <c r="AG28" s="39">
        <v>205</v>
      </c>
      <c r="AH28" s="39">
        <v>170</v>
      </c>
      <c r="AI28" s="51">
        <f t="shared" si="65"/>
        <v>170</v>
      </c>
      <c r="AJ28" s="39">
        <v>173</v>
      </c>
      <c r="AK28" s="39">
        <v>229</v>
      </c>
      <c r="AL28" s="39">
        <v>215</v>
      </c>
      <c r="AM28" s="39">
        <v>157</v>
      </c>
      <c r="AN28" s="51">
        <f t="shared" si="66"/>
        <v>157</v>
      </c>
      <c r="AO28" s="39">
        <v>177</v>
      </c>
      <c r="AP28" s="39">
        <v>208</v>
      </c>
      <c r="AQ28" s="39">
        <v>222</v>
      </c>
      <c r="AR28" s="39">
        <v>158</v>
      </c>
      <c r="AS28" s="51">
        <f t="shared" si="67"/>
        <v>158</v>
      </c>
      <c r="AT28" s="39">
        <v>198</v>
      </c>
      <c r="AU28" s="39">
        <v>168</v>
      </c>
      <c r="AV28" s="39">
        <v>127</v>
      </c>
      <c r="AW28" s="39">
        <v>131</v>
      </c>
      <c r="AX28" s="51">
        <f t="shared" si="68"/>
        <v>131</v>
      </c>
      <c r="AY28" s="67">
        <f>AW28</f>
        <v>131</v>
      </c>
      <c r="AZ28" s="67">
        <f t="shared" ref="AZ28:BL28" si="77">AY28</f>
        <v>131</v>
      </c>
      <c r="BA28" s="67">
        <f t="shared" si="77"/>
        <v>131</v>
      </c>
      <c r="BB28" s="67">
        <f t="shared" si="77"/>
        <v>131</v>
      </c>
      <c r="BC28" s="51">
        <f t="shared" si="70"/>
        <v>131</v>
      </c>
      <c r="BD28" s="67">
        <f>BB28</f>
        <v>131</v>
      </c>
      <c r="BE28" s="67">
        <f t="shared" ref="BE28" si="78">BD28</f>
        <v>131</v>
      </c>
      <c r="BF28" s="67">
        <f t="shared" ref="BF28" si="79">BE28</f>
        <v>131</v>
      </c>
      <c r="BG28" s="67">
        <f t="shared" si="72"/>
        <v>131</v>
      </c>
      <c r="BH28" s="51">
        <f t="shared" si="72"/>
        <v>131</v>
      </c>
      <c r="BI28" s="68">
        <f t="shared" si="77"/>
        <v>131</v>
      </c>
      <c r="BJ28" s="68">
        <f t="shared" si="77"/>
        <v>131</v>
      </c>
      <c r="BK28" s="68">
        <f t="shared" si="77"/>
        <v>131</v>
      </c>
      <c r="BL28" s="68">
        <f t="shared" si="77"/>
        <v>131</v>
      </c>
    </row>
    <row r="29" spans="1:64" s="38" customFormat="1" ht="12.75" customHeight="1">
      <c r="C29" s="84" t="s">
        <v>246</v>
      </c>
      <c r="E29" s="48">
        <v>10431</v>
      </c>
      <c r="F29" s="48">
        <v>10431</v>
      </c>
      <c r="G29" s="48">
        <v>10431</v>
      </c>
      <c r="H29" s="48">
        <v>10431</v>
      </c>
      <c r="I29" s="48">
        <v>10431</v>
      </c>
      <c r="J29" s="48">
        <v>10431</v>
      </c>
      <c r="K29" s="48">
        <v>10431</v>
      </c>
      <c r="L29" s="48">
        <v>10431</v>
      </c>
      <c r="M29" s="48">
        <v>10431</v>
      </c>
      <c r="N29" s="48">
        <v>10431</v>
      </c>
      <c r="O29" s="48">
        <v>10431</v>
      </c>
      <c r="P29" s="48">
        <v>10431</v>
      </c>
      <c r="Q29" s="48">
        <v>10431</v>
      </c>
      <c r="R29" s="48">
        <v>10431</v>
      </c>
      <c r="S29" s="48">
        <v>11902</v>
      </c>
      <c r="T29" s="48">
        <v>13368</v>
      </c>
      <c r="U29" s="39">
        <v>14438</v>
      </c>
      <c r="V29" s="39">
        <v>12924</v>
      </c>
      <c r="W29" s="39">
        <v>8753</v>
      </c>
      <c r="X29" s="39">
        <v>6024</v>
      </c>
      <c r="Y29" s="51">
        <f t="shared" si="63"/>
        <v>6024</v>
      </c>
      <c r="Z29" s="39">
        <v>6286</v>
      </c>
      <c r="AA29" s="39">
        <v>7035</v>
      </c>
      <c r="AB29" s="39">
        <v>7207</v>
      </c>
      <c r="AC29" s="39">
        <v>7921</v>
      </c>
      <c r="AD29" s="51">
        <f t="shared" si="64"/>
        <v>7921</v>
      </c>
      <c r="AE29" s="39">
        <v>9098</v>
      </c>
      <c r="AF29" s="39">
        <v>10411</v>
      </c>
      <c r="AG29" s="39">
        <v>10097</v>
      </c>
      <c r="AH29" s="39">
        <v>10886</v>
      </c>
      <c r="AI29" s="51">
        <f t="shared" si="65"/>
        <v>10886</v>
      </c>
      <c r="AJ29" s="39">
        <v>11789</v>
      </c>
      <c r="AK29" s="39">
        <v>13100</v>
      </c>
      <c r="AL29" s="39">
        <v>12894</v>
      </c>
      <c r="AM29" s="39">
        <v>12242</v>
      </c>
      <c r="AN29" s="51">
        <f t="shared" si="66"/>
        <v>12242</v>
      </c>
      <c r="AO29" s="39">
        <v>11846</v>
      </c>
      <c r="AP29" s="39">
        <v>12774</v>
      </c>
      <c r="AQ29" s="39">
        <v>12303</v>
      </c>
      <c r="AR29" s="39">
        <f>16335-AR30</f>
        <v>11231</v>
      </c>
      <c r="AS29" s="51">
        <f t="shared" si="67"/>
        <v>11231</v>
      </c>
      <c r="AT29" s="39">
        <f>16772-AT30</f>
        <v>11026</v>
      </c>
      <c r="AU29" s="39">
        <v>12202</v>
      </c>
      <c r="AV29" s="39">
        <v>11759</v>
      </c>
      <c r="AW29" s="39">
        <v>11629</v>
      </c>
      <c r="AX29" s="51">
        <f t="shared" si="68"/>
        <v>11629</v>
      </c>
      <c r="AY29" s="67">
        <f>AX29+AY395+AY396</f>
        <v>11629</v>
      </c>
      <c r="AZ29" s="67">
        <f>AY29+AZ395+AZ396</f>
        <v>11629</v>
      </c>
      <c r="BA29" s="67">
        <f>AZ29+BA395+BA396</f>
        <v>11629</v>
      </c>
      <c r="BB29" s="67">
        <f>BA29+BB395+BB396</f>
        <v>11629</v>
      </c>
      <c r="BC29" s="51">
        <f t="shared" si="70"/>
        <v>11629</v>
      </c>
      <c r="BD29" s="67">
        <f>BC29+BD395+BD396</f>
        <v>11629</v>
      </c>
      <c r="BE29" s="67">
        <f>BD29+BE395+BE396</f>
        <v>11629</v>
      </c>
      <c r="BF29" s="67">
        <f>BE29+BF395+BF396</f>
        <v>11629</v>
      </c>
      <c r="BG29" s="67">
        <f>BF29+BG395+BG396</f>
        <v>11629</v>
      </c>
      <c r="BH29" s="51">
        <f t="shared" si="72"/>
        <v>11629</v>
      </c>
      <c r="BI29" s="68">
        <f>BH29+BI395+BI396</f>
        <v>11629</v>
      </c>
      <c r="BJ29" s="68">
        <f>BI29+BJ395+BJ396</f>
        <v>11629</v>
      </c>
      <c r="BK29" s="68">
        <f>BJ29+BK395+BK396</f>
        <v>11629</v>
      </c>
      <c r="BL29" s="68">
        <f>BK29+BL395+BL396</f>
        <v>11629</v>
      </c>
    </row>
    <row r="30" spans="1:64" s="38" customFormat="1" ht="12.75" customHeight="1">
      <c r="C30" s="84" t="s">
        <v>247</v>
      </c>
      <c r="E30" s="48">
        <v>4434</v>
      </c>
      <c r="F30" s="48">
        <v>4434</v>
      </c>
      <c r="G30" s="48">
        <v>4434</v>
      </c>
      <c r="H30" s="48">
        <v>4434</v>
      </c>
      <c r="I30" s="48">
        <v>4434</v>
      </c>
      <c r="J30" s="48">
        <v>4434</v>
      </c>
      <c r="K30" s="48">
        <v>4434</v>
      </c>
      <c r="L30" s="48">
        <v>4434</v>
      </c>
      <c r="M30" s="48">
        <v>4434</v>
      </c>
      <c r="N30" s="48">
        <v>4434</v>
      </c>
      <c r="O30" s="48">
        <v>4434</v>
      </c>
      <c r="P30" s="48">
        <v>4434</v>
      </c>
      <c r="Q30" s="48">
        <v>4434</v>
      </c>
      <c r="R30" s="48">
        <v>4434</v>
      </c>
      <c r="S30" s="48">
        <v>4422</v>
      </c>
      <c r="T30" s="48">
        <v>3721</v>
      </c>
      <c r="U30" s="39">
        <v>4316</v>
      </c>
      <c r="V30" s="39">
        <v>58</v>
      </c>
      <c r="W30" s="39">
        <v>18</v>
      </c>
      <c r="X30" s="39">
        <v>243</v>
      </c>
      <c r="Y30" s="51">
        <f t="shared" si="63"/>
        <v>243</v>
      </c>
      <c r="Z30" s="39">
        <v>740</v>
      </c>
      <c r="AA30" s="39">
        <v>1514</v>
      </c>
      <c r="AB30" s="39">
        <v>1511</v>
      </c>
      <c r="AC30" s="39">
        <v>2986</v>
      </c>
      <c r="AD30" s="51">
        <f t="shared" si="64"/>
        <v>2986</v>
      </c>
      <c r="AE30" s="39">
        <v>2984</v>
      </c>
      <c r="AF30" s="39">
        <v>2981</v>
      </c>
      <c r="AG30" s="39">
        <v>2979</v>
      </c>
      <c r="AH30" s="39">
        <v>2977</v>
      </c>
      <c r="AI30" s="51">
        <f t="shared" si="65"/>
        <v>2977</v>
      </c>
      <c r="AJ30" s="39">
        <v>2975</v>
      </c>
      <c r="AK30" s="39">
        <v>3470</v>
      </c>
      <c r="AL30" s="39">
        <v>3119</v>
      </c>
      <c r="AM30" s="39">
        <v>3449</v>
      </c>
      <c r="AN30" s="51">
        <f t="shared" si="66"/>
        <v>3449</v>
      </c>
      <c r="AO30" s="39">
        <v>3898</v>
      </c>
      <c r="AP30" s="39">
        <v>4595</v>
      </c>
      <c r="AQ30" s="39">
        <v>4653</v>
      </c>
      <c r="AR30" s="39">
        <v>5104</v>
      </c>
      <c r="AS30" s="51">
        <f t="shared" si="67"/>
        <v>5104</v>
      </c>
      <c r="AT30" s="39">
        <v>5746</v>
      </c>
      <c r="AU30" s="39">
        <v>5434</v>
      </c>
      <c r="AV30" s="39">
        <v>5649</v>
      </c>
      <c r="AW30" s="67">
        <f>5425+346</f>
        <v>5771</v>
      </c>
      <c r="AX30" s="51">
        <f t="shared" si="68"/>
        <v>5771</v>
      </c>
      <c r="AY30" s="67">
        <f ca="1">AY302-AY303</f>
        <v>5317.6637739636126</v>
      </c>
      <c r="AZ30" s="67">
        <f t="shared" ref="AZ30:BB30" ca="1" si="80">AZ302-AZ303</f>
        <v>4906.7307045314674</v>
      </c>
      <c r="BA30" s="67">
        <f t="shared" ca="1" si="80"/>
        <v>4267.5050924835059</v>
      </c>
      <c r="BB30" s="67">
        <f t="shared" ca="1" si="80"/>
        <v>3965.7113209437321</v>
      </c>
      <c r="BC30" s="51">
        <f t="shared" ca="1" si="70"/>
        <v>3965.7113209437321</v>
      </c>
      <c r="BD30" s="67">
        <f t="shared" ref="BD30:BL30" ca="1" si="81">BD302-BD303</f>
        <v>3718.067509516733</v>
      </c>
      <c r="BE30" s="67">
        <f t="shared" ca="1" si="81"/>
        <v>3242.0751104081169</v>
      </c>
      <c r="BF30" s="67">
        <f t="shared" ca="1" si="81"/>
        <v>2532.0691559878796</v>
      </c>
      <c r="BG30" s="67">
        <f t="shared" ca="1" si="81"/>
        <v>2164.7552503480738</v>
      </c>
      <c r="BH30" s="51">
        <f t="shared" ca="1" si="72"/>
        <v>2164.7552503480738</v>
      </c>
      <c r="BI30" s="68">
        <f t="shared" ca="1" si="81"/>
        <v>12.143292277211685</v>
      </c>
      <c r="BJ30" s="68">
        <f t="shared" ca="1" si="81"/>
        <v>-2504.8587412443771</v>
      </c>
      <c r="BK30" s="68">
        <f t="shared" ca="1" si="81"/>
        <v>-5428.9225503257239</v>
      </c>
      <c r="BL30" s="68">
        <f t="shared" ca="1" si="81"/>
        <v>-8796.9881096608278</v>
      </c>
    </row>
    <row r="31" spans="1:64" s="38" customFormat="1" ht="12.75" customHeight="1">
      <c r="C31" s="38" t="s">
        <v>193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39"/>
      <c r="V31" s="39"/>
      <c r="W31" s="39"/>
      <c r="X31" s="39"/>
      <c r="Y31" s="51">
        <f t="shared" si="63"/>
        <v>0</v>
      </c>
      <c r="Z31" s="39"/>
      <c r="AA31" s="39">
        <v>800</v>
      </c>
      <c r="AB31" s="39">
        <v>783</v>
      </c>
      <c r="AC31" s="39">
        <v>1324</v>
      </c>
      <c r="AD31" s="51">
        <f t="shared" si="64"/>
        <v>1324</v>
      </c>
      <c r="AE31" s="39">
        <v>1272</v>
      </c>
      <c r="AF31" s="39">
        <v>811</v>
      </c>
      <c r="AG31" s="39">
        <v>737</v>
      </c>
      <c r="AH31" s="39">
        <v>617</v>
      </c>
      <c r="AI31" s="51">
        <f t="shared" si="65"/>
        <v>617</v>
      </c>
      <c r="AJ31" s="39">
        <v>735</v>
      </c>
      <c r="AK31" s="39">
        <v>835</v>
      </c>
      <c r="AL31" s="39">
        <v>506</v>
      </c>
      <c r="AM31" s="39">
        <v>453</v>
      </c>
      <c r="AN31" s="51">
        <f t="shared" si="66"/>
        <v>453</v>
      </c>
      <c r="AO31" s="39">
        <v>367</v>
      </c>
      <c r="AP31" s="39">
        <v>203</v>
      </c>
      <c r="AQ31" s="39">
        <v>181</v>
      </c>
      <c r="AR31" s="39">
        <v>178</v>
      </c>
      <c r="AS31" s="51">
        <f t="shared" si="67"/>
        <v>178</v>
      </c>
      <c r="AT31" s="39">
        <v>187</v>
      </c>
      <c r="AU31" s="39">
        <v>302</v>
      </c>
      <c r="AV31" s="39">
        <v>308</v>
      </c>
      <c r="AW31" s="39">
        <v>222</v>
      </c>
      <c r="AX31" s="51">
        <f t="shared" si="68"/>
        <v>222</v>
      </c>
      <c r="AY31" s="67">
        <f t="shared" ref="AY31:AY34" si="82">AW31</f>
        <v>222</v>
      </c>
      <c r="AZ31" s="67">
        <f t="shared" si="70"/>
        <v>222</v>
      </c>
      <c r="BA31" s="67">
        <f t="shared" si="70"/>
        <v>222</v>
      </c>
      <c r="BB31" s="67">
        <f t="shared" si="70"/>
        <v>222</v>
      </c>
      <c r="BC31" s="51">
        <f t="shared" si="70"/>
        <v>222</v>
      </c>
      <c r="BD31" s="67">
        <f t="shared" ref="BD31:BD34" si="83">BB31</f>
        <v>222</v>
      </c>
      <c r="BE31" s="67">
        <f t="shared" ref="BE31:BE34" si="84">BD31</f>
        <v>222</v>
      </c>
      <c r="BF31" s="67">
        <f t="shared" ref="BF31:BF34" si="85">BE31</f>
        <v>222</v>
      </c>
      <c r="BG31" s="67">
        <f t="shared" ref="BG31:BG34" si="86">BF31</f>
        <v>222</v>
      </c>
      <c r="BH31" s="51">
        <f t="shared" si="72"/>
        <v>222</v>
      </c>
      <c r="BI31" s="68">
        <f t="shared" si="70"/>
        <v>222</v>
      </c>
      <c r="BJ31" s="68">
        <f t="shared" si="70"/>
        <v>222</v>
      </c>
      <c r="BK31" s="68">
        <f t="shared" si="70"/>
        <v>222</v>
      </c>
      <c r="BL31" s="68">
        <f t="shared" si="70"/>
        <v>222</v>
      </c>
    </row>
    <row r="32" spans="1:64" s="38" customFormat="1" ht="12.75" customHeight="1">
      <c r="C32" s="38" t="s">
        <v>91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/>
      <c r="T32" s="48">
        <v>1848</v>
      </c>
      <c r="U32" s="39">
        <v>1844</v>
      </c>
      <c r="V32" s="39">
        <v>1690</v>
      </c>
      <c r="W32" s="39">
        <v>1703</v>
      </c>
      <c r="X32" s="39">
        <v>1636</v>
      </c>
      <c r="Y32" s="51">
        <f t="shared" si="63"/>
        <v>1636</v>
      </c>
      <c r="Z32" s="39">
        <v>1541</v>
      </c>
      <c r="AA32" s="39">
        <v>1459</v>
      </c>
      <c r="AB32" s="39">
        <v>1402</v>
      </c>
      <c r="AC32" s="39">
        <v>1510</v>
      </c>
      <c r="AD32" s="51">
        <f t="shared" si="64"/>
        <v>1510</v>
      </c>
      <c r="AE32" s="39">
        <v>1502</v>
      </c>
      <c r="AF32" s="39">
        <v>1493</v>
      </c>
      <c r="AG32" s="39">
        <v>1556</v>
      </c>
      <c r="AH32" s="39">
        <v>1802</v>
      </c>
      <c r="AI32" s="51">
        <f t="shared" si="65"/>
        <v>1802</v>
      </c>
      <c r="AJ32" s="39">
        <v>1977</v>
      </c>
      <c r="AK32" s="39">
        <v>2072</v>
      </c>
      <c r="AL32" s="39">
        <v>2094</v>
      </c>
      <c r="AM32" s="39">
        <v>2142</v>
      </c>
      <c r="AN32" s="51">
        <f t="shared" si="66"/>
        <v>2142</v>
      </c>
      <c r="AO32" s="39">
        <v>2100</v>
      </c>
      <c r="AP32" s="39">
        <v>2108</v>
      </c>
      <c r="AQ32" s="39">
        <v>2021</v>
      </c>
      <c r="AR32" s="39">
        <v>2073</v>
      </c>
      <c r="AS32" s="51">
        <f t="shared" si="67"/>
        <v>2073</v>
      </c>
      <c r="AT32" s="39">
        <v>2125</v>
      </c>
      <c r="AU32" s="39">
        <v>2280</v>
      </c>
      <c r="AV32" s="39">
        <v>2292</v>
      </c>
      <c r="AW32" s="39">
        <v>2275</v>
      </c>
      <c r="AX32" s="51">
        <f t="shared" si="68"/>
        <v>2275</v>
      </c>
      <c r="AY32" s="67">
        <f t="shared" si="82"/>
        <v>2275</v>
      </c>
      <c r="AZ32" s="67">
        <f t="shared" si="70"/>
        <v>2275</v>
      </c>
      <c r="BA32" s="67">
        <f t="shared" si="70"/>
        <v>2275</v>
      </c>
      <c r="BB32" s="67">
        <f t="shared" si="70"/>
        <v>2275</v>
      </c>
      <c r="BC32" s="51">
        <f t="shared" si="70"/>
        <v>2275</v>
      </c>
      <c r="BD32" s="67">
        <f t="shared" si="83"/>
        <v>2275</v>
      </c>
      <c r="BE32" s="67">
        <f t="shared" si="84"/>
        <v>2275</v>
      </c>
      <c r="BF32" s="67">
        <f t="shared" si="85"/>
        <v>2275</v>
      </c>
      <c r="BG32" s="67">
        <f t="shared" si="86"/>
        <v>2275</v>
      </c>
      <c r="BH32" s="51">
        <f t="shared" si="72"/>
        <v>2275</v>
      </c>
      <c r="BI32" s="68">
        <f t="shared" si="70"/>
        <v>2275</v>
      </c>
      <c r="BJ32" s="68">
        <f t="shared" si="70"/>
        <v>2275</v>
      </c>
      <c r="BK32" s="68">
        <f t="shared" si="70"/>
        <v>2275</v>
      </c>
      <c r="BL32" s="68">
        <f t="shared" si="70"/>
        <v>2275</v>
      </c>
    </row>
    <row r="33" spans="1:64" s="38" customFormat="1" ht="12.75" customHeight="1">
      <c r="C33" s="38" t="s">
        <v>194</v>
      </c>
      <c r="E33" s="48">
        <v>427</v>
      </c>
      <c r="F33" s="48">
        <v>427</v>
      </c>
      <c r="G33" s="48">
        <v>427</v>
      </c>
      <c r="H33" s="48">
        <v>427</v>
      </c>
      <c r="I33" s="48">
        <v>427</v>
      </c>
      <c r="J33" s="48">
        <v>427</v>
      </c>
      <c r="K33" s="48">
        <v>427</v>
      </c>
      <c r="L33" s="48">
        <v>427</v>
      </c>
      <c r="M33" s="48">
        <v>427</v>
      </c>
      <c r="N33" s="48">
        <v>427</v>
      </c>
      <c r="O33" s="48">
        <v>427</v>
      </c>
      <c r="P33" s="48">
        <v>427</v>
      </c>
      <c r="Q33" s="48">
        <v>427</v>
      </c>
      <c r="R33" s="48">
        <v>427</v>
      </c>
      <c r="S33" s="48">
        <v>418</v>
      </c>
      <c r="T33" s="48">
        <v>553</v>
      </c>
      <c r="U33" s="39">
        <v>532</v>
      </c>
      <c r="V33" s="39">
        <v>495</v>
      </c>
      <c r="W33" s="39">
        <v>481</v>
      </c>
      <c r="X33" s="39">
        <v>488</v>
      </c>
      <c r="Y33" s="51">
        <f t="shared" si="63"/>
        <v>488</v>
      </c>
      <c r="Z33" s="39">
        <v>470</v>
      </c>
      <c r="AA33" s="39">
        <v>459</v>
      </c>
      <c r="AB33" s="39">
        <v>470</v>
      </c>
      <c r="AC33" s="39">
        <v>463</v>
      </c>
      <c r="AD33" s="51">
        <f t="shared" si="64"/>
        <v>463</v>
      </c>
      <c r="AE33" s="39">
        <v>468</v>
      </c>
      <c r="AF33" s="39">
        <v>470</v>
      </c>
      <c r="AG33" s="39">
        <v>484</v>
      </c>
      <c r="AH33" s="39">
        <v>472</v>
      </c>
      <c r="AI33" s="51">
        <f t="shared" si="65"/>
        <v>472</v>
      </c>
      <c r="AJ33" s="39">
        <v>457</v>
      </c>
      <c r="AK33" s="39">
        <v>451</v>
      </c>
      <c r="AL33" s="39">
        <v>472</v>
      </c>
      <c r="AM33" s="39">
        <v>471</v>
      </c>
      <c r="AN33" s="51">
        <f t="shared" si="66"/>
        <v>471</v>
      </c>
      <c r="AO33" s="39">
        <v>473</v>
      </c>
      <c r="AP33" s="39">
        <v>501</v>
      </c>
      <c r="AQ33" s="39">
        <v>559</v>
      </c>
      <c r="AR33" s="39">
        <v>617</v>
      </c>
      <c r="AS33" s="51">
        <f t="shared" si="67"/>
        <v>617</v>
      </c>
      <c r="AT33" s="39">
        <v>627</v>
      </c>
      <c r="AU33" s="39">
        <v>640</v>
      </c>
      <c r="AV33" s="39">
        <v>660</v>
      </c>
      <c r="AW33" s="39">
        <v>648</v>
      </c>
      <c r="AX33" s="51">
        <f t="shared" si="68"/>
        <v>648</v>
      </c>
      <c r="AY33" s="67">
        <f t="shared" si="82"/>
        <v>648</v>
      </c>
      <c r="AZ33" s="67">
        <f t="shared" si="70"/>
        <v>648</v>
      </c>
      <c r="BA33" s="67">
        <f t="shared" si="70"/>
        <v>648</v>
      </c>
      <c r="BB33" s="67">
        <f t="shared" si="70"/>
        <v>648</v>
      </c>
      <c r="BC33" s="51">
        <f t="shared" si="70"/>
        <v>648</v>
      </c>
      <c r="BD33" s="67">
        <f t="shared" si="83"/>
        <v>648</v>
      </c>
      <c r="BE33" s="67">
        <f t="shared" si="84"/>
        <v>648</v>
      </c>
      <c r="BF33" s="67">
        <f t="shared" si="85"/>
        <v>648</v>
      </c>
      <c r="BG33" s="67">
        <f t="shared" si="86"/>
        <v>648</v>
      </c>
      <c r="BH33" s="51">
        <f t="shared" si="72"/>
        <v>648</v>
      </c>
      <c r="BI33" s="68">
        <f t="shared" si="70"/>
        <v>648</v>
      </c>
      <c r="BJ33" s="68">
        <f t="shared" si="70"/>
        <v>648</v>
      </c>
      <c r="BK33" s="68">
        <f t="shared" si="70"/>
        <v>648</v>
      </c>
      <c r="BL33" s="68">
        <f t="shared" si="70"/>
        <v>648</v>
      </c>
    </row>
    <row r="34" spans="1:64" s="38" customFormat="1" ht="12.75" customHeight="1">
      <c r="C34" s="84" t="s">
        <v>90</v>
      </c>
      <c r="E34" s="48">
        <v>1220</v>
      </c>
      <c r="F34" s="48">
        <v>1220</v>
      </c>
      <c r="G34" s="48">
        <v>1220</v>
      </c>
      <c r="H34" s="48">
        <v>1220</v>
      </c>
      <c r="I34" s="48">
        <v>1220</v>
      </c>
      <c r="J34" s="48">
        <v>1220</v>
      </c>
      <c r="K34" s="48">
        <v>1220</v>
      </c>
      <c r="L34" s="48">
        <v>1220</v>
      </c>
      <c r="M34" s="48">
        <v>1220</v>
      </c>
      <c r="N34" s="48">
        <v>1220</v>
      </c>
      <c r="O34" s="48">
        <v>1220</v>
      </c>
      <c r="P34" s="48">
        <v>1220</v>
      </c>
      <c r="Q34" s="48">
        <v>1220</v>
      </c>
      <c r="R34" s="48">
        <v>1220</v>
      </c>
      <c r="S34" s="48">
        <v>1092</v>
      </c>
      <c r="T34" s="48">
        <v>1124</v>
      </c>
      <c r="U34" s="39">
        <v>1108</v>
      </c>
      <c r="V34" s="39">
        <v>915</v>
      </c>
      <c r="W34" s="39">
        <v>887</v>
      </c>
      <c r="X34" s="39">
        <v>730</v>
      </c>
      <c r="Y34" s="51">
        <f t="shared" si="63"/>
        <v>730</v>
      </c>
      <c r="Z34" s="39">
        <v>789</v>
      </c>
      <c r="AA34" s="39">
        <v>711</v>
      </c>
      <c r="AB34" s="39">
        <v>851</v>
      </c>
      <c r="AC34" s="39">
        <v>1010</v>
      </c>
      <c r="AD34" s="51">
        <f t="shared" si="64"/>
        <v>1010</v>
      </c>
      <c r="AE34" s="39">
        <v>1113</v>
      </c>
      <c r="AF34" s="39">
        <v>1258</v>
      </c>
      <c r="AG34" s="39">
        <v>1306</v>
      </c>
      <c r="AH34" s="39">
        <v>1360</v>
      </c>
      <c r="AI34" s="51">
        <f t="shared" si="65"/>
        <v>1360</v>
      </c>
      <c r="AJ34" s="39">
        <v>1223</v>
      </c>
      <c r="AK34" s="39">
        <v>1193</v>
      </c>
      <c r="AL34" s="39">
        <v>1178</v>
      </c>
      <c r="AM34" s="39">
        <v>1038</v>
      </c>
      <c r="AN34" s="51">
        <f t="shared" si="66"/>
        <v>1038</v>
      </c>
      <c r="AO34" s="39">
        <v>620</v>
      </c>
      <c r="AP34" s="39">
        <v>912</v>
      </c>
      <c r="AQ34" s="39">
        <v>559</v>
      </c>
      <c r="AR34" s="39">
        <v>472</v>
      </c>
      <c r="AS34" s="51">
        <f t="shared" si="67"/>
        <v>472</v>
      </c>
      <c r="AT34" s="39">
        <v>348</v>
      </c>
      <c r="AU34" s="39">
        <v>327</v>
      </c>
      <c r="AV34" s="39">
        <v>425</v>
      </c>
      <c r="AW34" s="39">
        <v>350</v>
      </c>
      <c r="AX34" s="51">
        <f t="shared" si="68"/>
        <v>350</v>
      </c>
      <c r="AY34" s="67">
        <f t="shared" si="82"/>
        <v>350</v>
      </c>
      <c r="AZ34" s="67">
        <f t="shared" si="70"/>
        <v>350</v>
      </c>
      <c r="BA34" s="67">
        <f t="shared" si="70"/>
        <v>350</v>
      </c>
      <c r="BB34" s="67">
        <f t="shared" si="70"/>
        <v>350</v>
      </c>
      <c r="BC34" s="51">
        <f t="shared" si="70"/>
        <v>350</v>
      </c>
      <c r="BD34" s="67">
        <f t="shared" si="83"/>
        <v>350</v>
      </c>
      <c r="BE34" s="67">
        <f t="shared" si="84"/>
        <v>350</v>
      </c>
      <c r="BF34" s="67">
        <f t="shared" si="85"/>
        <v>350</v>
      </c>
      <c r="BG34" s="67">
        <f t="shared" si="86"/>
        <v>350</v>
      </c>
      <c r="BH34" s="51">
        <f t="shared" si="72"/>
        <v>350</v>
      </c>
      <c r="BI34" s="68">
        <f t="shared" si="70"/>
        <v>350</v>
      </c>
      <c r="BJ34" s="68">
        <f t="shared" si="70"/>
        <v>350</v>
      </c>
      <c r="BK34" s="68">
        <f t="shared" si="70"/>
        <v>350</v>
      </c>
      <c r="BL34" s="68">
        <f t="shared" si="70"/>
        <v>350</v>
      </c>
    </row>
    <row r="35" spans="1:64" s="38" customFormat="1" ht="12.75" customHeight="1">
      <c r="C35" s="84" t="s">
        <v>244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39"/>
      <c r="V35" s="39">
        <v>4912</v>
      </c>
      <c r="W35" s="39">
        <v>5001</v>
      </c>
      <c r="X35" s="39">
        <v>4965</v>
      </c>
      <c r="Y35" s="51">
        <f t="shared" si="63"/>
        <v>4965</v>
      </c>
      <c r="Z35" s="39">
        <v>4978</v>
      </c>
      <c r="AA35" s="39">
        <v>0</v>
      </c>
      <c r="AB35" s="39"/>
      <c r="AC35" s="39"/>
      <c r="AD35" s="51"/>
      <c r="AE35" s="39"/>
      <c r="AF35" s="39"/>
      <c r="AG35" s="39"/>
      <c r="AH35" s="39"/>
      <c r="AI35" s="51"/>
      <c r="AJ35" s="39"/>
      <c r="AK35" s="39"/>
      <c r="AL35" s="39"/>
      <c r="AM35" s="39"/>
      <c r="AN35" s="51"/>
      <c r="AO35" s="39"/>
      <c r="AP35" s="39"/>
      <c r="AQ35" s="39"/>
      <c r="AR35" s="39"/>
      <c r="AS35" s="51"/>
      <c r="AT35" s="39"/>
      <c r="AU35" s="39"/>
      <c r="AV35" s="39"/>
      <c r="AW35" s="39"/>
      <c r="AX35" s="51"/>
      <c r="AY35" s="67"/>
      <c r="AZ35" s="67"/>
      <c r="BA35" s="67"/>
      <c r="BB35" s="67"/>
      <c r="BC35" s="51"/>
      <c r="BD35" s="67"/>
      <c r="BE35" s="67"/>
      <c r="BF35" s="67"/>
      <c r="BG35" s="67"/>
      <c r="BH35" s="51"/>
      <c r="BI35" s="68"/>
      <c r="BJ35" s="68"/>
      <c r="BK35" s="68"/>
      <c r="BL35" s="68"/>
    </row>
    <row r="36" spans="1:64" s="38" customFormat="1" ht="12.75" customHeight="1">
      <c r="C36" s="84" t="s">
        <v>243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39"/>
      <c r="V36" s="39">
        <v>0</v>
      </c>
      <c r="W36" s="39"/>
      <c r="X36" s="39">
        <v>1431</v>
      </c>
      <c r="Y36" s="51">
        <f t="shared" si="63"/>
        <v>1431</v>
      </c>
      <c r="Z36" s="39">
        <v>0</v>
      </c>
      <c r="AA36" s="39">
        <v>0</v>
      </c>
      <c r="AB36" s="39"/>
      <c r="AC36" s="39"/>
      <c r="AD36" s="51"/>
      <c r="AE36" s="39"/>
      <c r="AF36" s="39"/>
      <c r="AG36" s="39"/>
      <c r="AH36" s="39"/>
      <c r="AI36" s="51"/>
      <c r="AJ36" s="39"/>
      <c r="AK36" s="39"/>
      <c r="AL36" s="39"/>
      <c r="AM36" s="39"/>
      <c r="AN36" s="51"/>
      <c r="AO36" s="39"/>
      <c r="AP36" s="39"/>
      <c r="AQ36" s="39"/>
      <c r="AR36" s="39"/>
      <c r="AS36" s="51"/>
      <c r="AT36" s="39"/>
      <c r="AU36" s="39"/>
      <c r="AV36" s="39"/>
      <c r="AW36" s="39"/>
      <c r="AX36" s="51"/>
      <c r="AY36" s="67"/>
      <c r="AZ36" s="67"/>
      <c r="BA36" s="67"/>
      <c r="BB36" s="67"/>
      <c r="BC36" s="51"/>
      <c r="BD36" s="67"/>
      <c r="BE36" s="67"/>
      <c r="BF36" s="67"/>
      <c r="BG36" s="67"/>
      <c r="BH36" s="51"/>
      <c r="BI36" s="68"/>
      <c r="BJ36" s="68"/>
      <c r="BK36" s="68"/>
      <c r="BL36" s="68"/>
    </row>
    <row r="37" spans="1:64" s="41" customFormat="1" ht="12.75" customHeight="1">
      <c r="C37" s="73" t="s">
        <v>19</v>
      </c>
      <c r="D37" s="73"/>
      <c r="E37" s="49">
        <f t="shared" ref="E37:Q37" si="87">SUM(E26:E36)</f>
        <v>18538</v>
      </c>
      <c r="F37" s="49">
        <f t="shared" si="87"/>
        <v>18538</v>
      </c>
      <c r="G37" s="49">
        <f t="shared" si="87"/>
        <v>18538</v>
      </c>
      <c r="H37" s="49">
        <f t="shared" si="87"/>
        <v>18538</v>
      </c>
      <c r="I37" s="49">
        <f t="shared" si="87"/>
        <v>18538</v>
      </c>
      <c r="J37" s="49">
        <f t="shared" si="87"/>
        <v>18538</v>
      </c>
      <c r="K37" s="49">
        <f t="shared" si="87"/>
        <v>18538</v>
      </c>
      <c r="L37" s="49">
        <f t="shared" si="87"/>
        <v>18538</v>
      </c>
      <c r="M37" s="49">
        <f t="shared" si="87"/>
        <v>18538</v>
      </c>
      <c r="N37" s="49">
        <f t="shared" si="87"/>
        <v>18538</v>
      </c>
      <c r="O37" s="49">
        <f t="shared" si="87"/>
        <v>18538</v>
      </c>
      <c r="P37" s="49">
        <f t="shared" si="87"/>
        <v>18538</v>
      </c>
      <c r="Q37" s="49">
        <f t="shared" si="87"/>
        <v>18538</v>
      </c>
      <c r="R37" s="49">
        <f t="shared" ref="R37:W37" si="88">SUM(R26:R36)</f>
        <v>18538</v>
      </c>
      <c r="S37" s="49">
        <f t="shared" si="88"/>
        <v>20262</v>
      </c>
      <c r="T37" s="49">
        <f t="shared" si="88"/>
        <v>22739</v>
      </c>
      <c r="U37" s="41">
        <f t="shared" si="88"/>
        <v>24351</v>
      </c>
      <c r="V37" s="41">
        <f t="shared" si="88"/>
        <v>22443</v>
      </c>
      <c r="W37" s="41">
        <f t="shared" si="88"/>
        <v>18357</v>
      </c>
      <c r="X37" s="41">
        <f t="shared" ref="X37:BL37" si="89">SUM(X26:X36)</f>
        <v>16815</v>
      </c>
      <c r="Y37" s="49">
        <f>SUM(Y26:Y36)</f>
        <v>16815</v>
      </c>
      <c r="Z37" s="41">
        <f t="shared" si="89"/>
        <v>16320</v>
      </c>
      <c r="AA37" s="41">
        <f t="shared" si="89"/>
        <v>13935</v>
      </c>
      <c r="AB37" s="41">
        <f t="shared" si="89"/>
        <v>13942</v>
      </c>
      <c r="AC37" s="41">
        <f t="shared" si="89"/>
        <v>16806</v>
      </c>
      <c r="AD37" s="49">
        <f t="shared" si="89"/>
        <v>16806</v>
      </c>
      <c r="AE37" s="41">
        <f t="shared" si="89"/>
        <v>18239</v>
      </c>
      <c r="AF37" s="41">
        <f t="shared" si="89"/>
        <v>19337</v>
      </c>
      <c r="AG37" s="41">
        <f t="shared" si="89"/>
        <v>18933</v>
      </c>
      <c r="AH37" s="41">
        <f t="shared" si="89"/>
        <v>19852</v>
      </c>
      <c r="AI37" s="49">
        <f t="shared" si="89"/>
        <v>19852</v>
      </c>
      <c r="AJ37" s="41">
        <f t="shared" si="89"/>
        <v>20975</v>
      </c>
      <c r="AK37" s="41">
        <f t="shared" si="89"/>
        <v>23256</v>
      </c>
      <c r="AL37" s="41">
        <f t="shared" si="89"/>
        <v>22164</v>
      </c>
      <c r="AM37" s="41">
        <f t="shared" si="89"/>
        <v>21513</v>
      </c>
      <c r="AN37" s="49">
        <f t="shared" si="89"/>
        <v>21513</v>
      </c>
      <c r="AO37" s="41">
        <f t="shared" si="89"/>
        <v>21498</v>
      </c>
      <c r="AP37" s="41">
        <f t="shared" si="89"/>
        <v>23227</v>
      </c>
      <c r="AQ37" s="41">
        <f t="shared" si="89"/>
        <v>22298</v>
      </c>
      <c r="AR37" s="41">
        <f t="shared" si="89"/>
        <v>21649</v>
      </c>
      <c r="AS37" s="49">
        <f t="shared" si="89"/>
        <v>21649</v>
      </c>
      <c r="AT37" s="41">
        <f t="shared" si="89"/>
        <v>22309</v>
      </c>
      <c r="AU37" s="41">
        <f t="shared" si="89"/>
        <v>23587</v>
      </c>
      <c r="AV37" s="41">
        <f t="shared" si="89"/>
        <v>23307</v>
      </c>
      <c r="AW37" s="41">
        <f t="shared" si="89"/>
        <v>23116</v>
      </c>
      <c r="AX37" s="49">
        <f t="shared" si="89"/>
        <v>23116</v>
      </c>
      <c r="AY37" s="41">
        <f t="shared" ca="1" si="89"/>
        <v>22676.615743182709</v>
      </c>
      <c r="AZ37" s="41">
        <f t="shared" ca="1" si="89"/>
        <v>22275.216361078241</v>
      </c>
      <c r="BA37" s="41">
        <f t="shared" ca="1" si="89"/>
        <v>21647.744998280457</v>
      </c>
      <c r="BB37" s="41">
        <f t="shared" ca="1" si="89"/>
        <v>21358.598431022019</v>
      </c>
      <c r="BC37" s="49">
        <f t="shared" ref="BC37" ca="1" si="90">SUM(BC26:BC36)</f>
        <v>21358.598431022019</v>
      </c>
      <c r="BD37" s="41">
        <f t="shared" ref="BD37:BH37" ca="1" si="91">SUM(BD26:BD36)</f>
        <v>21120.14515944977</v>
      </c>
      <c r="BE37" s="41">
        <f t="shared" ca="1" si="91"/>
        <v>20655.083438791375</v>
      </c>
      <c r="BF37" s="41">
        <f t="shared" ca="1" si="91"/>
        <v>19957.492766910233</v>
      </c>
      <c r="BG37" s="41">
        <f t="shared" ca="1" si="91"/>
        <v>19600.400102627926</v>
      </c>
      <c r="BH37" s="49">
        <f t="shared" ca="1" si="91"/>
        <v>19600.400102627926</v>
      </c>
      <c r="BI37" s="49">
        <f t="shared" ca="1" si="89"/>
        <v>17496.875686331252</v>
      </c>
      <c r="BJ37" s="49">
        <f t="shared" ca="1" si="89"/>
        <v>15018.254292379443</v>
      </c>
      <c r="BK37" s="49">
        <f t="shared" ca="1" si="89"/>
        <v>12139.552743970575</v>
      </c>
      <c r="BL37" s="49">
        <f t="shared" ca="1" si="89"/>
        <v>8817.7566905213971</v>
      </c>
    </row>
    <row r="38" spans="1:64" s="41" customFormat="1" ht="12.75" customHeight="1">
      <c r="C38" s="73"/>
      <c r="D38" s="73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Y38" s="49"/>
      <c r="AD38" s="49"/>
      <c r="AI38" s="49"/>
      <c r="AN38" s="49"/>
      <c r="AS38" s="49"/>
      <c r="AX38" s="49"/>
      <c r="BC38" s="49"/>
      <c r="BH38" s="49"/>
      <c r="BI38" s="49"/>
      <c r="BJ38" s="49"/>
      <c r="BK38" s="49"/>
      <c r="BL38" s="49"/>
    </row>
    <row r="39" spans="1:64" s="38" customFormat="1" ht="12.75" customHeight="1">
      <c r="A39" s="41"/>
      <c r="B39" s="41" t="s">
        <v>1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Y39" s="50"/>
      <c r="AD39" s="50"/>
      <c r="AI39" s="50"/>
      <c r="AN39" s="50"/>
      <c r="AS39" s="50"/>
      <c r="AX39" s="50"/>
      <c r="BC39" s="50"/>
      <c r="BH39" s="50"/>
      <c r="BI39" s="50"/>
      <c r="BJ39" s="50"/>
      <c r="BK39" s="50"/>
      <c r="BL39" s="50"/>
    </row>
    <row r="40" spans="1:64" s="38" customFormat="1" ht="12.75" customHeight="1">
      <c r="A40" s="41"/>
      <c r="B40" s="41"/>
      <c r="C40" s="84" t="s">
        <v>93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39">
        <v>0</v>
      </c>
      <c r="V40" s="39">
        <v>0</v>
      </c>
      <c r="W40" s="39">
        <v>0</v>
      </c>
      <c r="X40" s="39">
        <v>0</v>
      </c>
      <c r="Y40" s="51">
        <f t="shared" ref="Y40:Y46" si="92">X40</f>
        <v>0</v>
      </c>
      <c r="Z40" s="39">
        <v>0</v>
      </c>
      <c r="AA40" s="39">
        <v>1433</v>
      </c>
      <c r="AB40" s="39">
        <v>1433</v>
      </c>
      <c r="AC40" s="39">
        <v>0</v>
      </c>
      <c r="AD40" s="51">
        <f t="shared" ref="AD40:AD45" si="93">AC40</f>
        <v>0</v>
      </c>
      <c r="AE40" s="39">
        <v>0</v>
      </c>
      <c r="AF40" s="39">
        <v>0</v>
      </c>
      <c r="AG40" s="39">
        <v>0</v>
      </c>
      <c r="AH40" s="39">
        <v>0</v>
      </c>
      <c r="AI40" s="51">
        <f t="shared" ref="AI40:AI45" si="94">AH40</f>
        <v>0</v>
      </c>
      <c r="AJ40" s="39">
        <v>0</v>
      </c>
      <c r="AK40" s="39">
        <v>0</v>
      </c>
      <c r="AL40" s="39">
        <v>0</v>
      </c>
      <c r="AM40" s="39">
        <v>0</v>
      </c>
      <c r="AN40" s="51">
        <f t="shared" ref="AN40:AN45" si="95">AM40</f>
        <v>0</v>
      </c>
      <c r="AO40" s="39">
        <v>0</v>
      </c>
      <c r="AP40" s="39">
        <v>0</v>
      </c>
      <c r="AQ40" s="39">
        <v>0</v>
      </c>
      <c r="AR40" s="39">
        <v>0</v>
      </c>
      <c r="AS40" s="51">
        <f t="shared" ref="AS40:AS45" si="96">AR40</f>
        <v>0</v>
      </c>
      <c r="AT40" s="39">
        <v>0</v>
      </c>
      <c r="AU40" s="39">
        <v>0</v>
      </c>
      <c r="AV40" s="39">
        <v>0</v>
      </c>
      <c r="AW40" s="39">
        <v>0</v>
      </c>
      <c r="AX40" s="51">
        <f t="shared" ref="AX40:BL40" si="97">AW40</f>
        <v>0</v>
      </c>
      <c r="AY40" s="67">
        <f t="shared" si="97"/>
        <v>0</v>
      </c>
      <c r="AZ40" s="67">
        <f t="shared" si="97"/>
        <v>0</v>
      </c>
      <c r="BA40" s="67">
        <f t="shared" si="97"/>
        <v>0</v>
      </c>
      <c r="BB40" s="67">
        <f t="shared" si="97"/>
        <v>0</v>
      </c>
      <c r="BC40" s="51">
        <f t="shared" si="97"/>
        <v>0</v>
      </c>
      <c r="BD40" s="67">
        <f t="shared" ref="BD40" si="98">BC40</f>
        <v>0</v>
      </c>
      <c r="BE40" s="67">
        <f t="shared" ref="BE40" si="99">BD40</f>
        <v>0</v>
      </c>
      <c r="BF40" s="67">
        <f t="shared" ref="BF40" si="100">BE40</f>
        <v>0</v>
      </c>
      <c r="BG40" s="67">
        <f t="shared" ref="BG40" si="101">BF40</f>
        <v>0</v>
      </c>
      <c r="BH40" s="51">
        <f t="shared" si="97"/>
        <v>0</v>
      </c>
      <c r="BI40" s="68">
        <f t="shared" si="97"/>
        <v>0</v>
      </c>
      <c r="BJ40" s="68">
        <f t="shared" si="97"/>
        <v>0</v>
      </c>
      <c r="BK40" s="68">
        <f t="shared" si="97"/>
        <v>0</v>
      </c>
      <c r="BL40" s="68">
        <f t="shared" si="97"/>
        <v>0</v>
      </c>
    </row>
    <row r="41" spans="1:64" s="38" customFormat="1" ht="12.75" customHeight="1">
      <c r="A41" s="41"/>
      <c r="B41" s="41"/>
      <c r="C41" s="84" t="s">
        <v>94</v>
      </c>
      <c r="E41" s="48">
        <v>1</v>
      </c>
      <c r="F41" s="48">
        <v>1</v>
      </c>
      <c r="G41" s="48">
        <v>1</v>
      </c>
      <c r="H41" s="48">
        <v>1</v>
      </c>
      <c r="I41" s="48">
        <v>1</v>
      </c>
      <c r="J41" s="48">
        <v>1</v>
      </c>
      <c r="K41" s="48">
        <v>1</v>
      </c>
      <c r="L41" s="48">
        <v>1</v>
      </c>
      <c r="M41" s="48">
        <v>1</v>
      </c>
      <c r="N41" s="48">
        <v>1</v>
      </c>
      <c r="O41" s="48">
        <v>1</v>
      </c>
      <c r="P41" s="48">
        <v>1</v>
      </c>
      <c r="Q41" s="48">
        <v>1</v>
      </c>
      <c r="R41" s="48">
        <v>1</v>
      </c>
      <c r="S41" s="48">
        <v>1</v>
      </c>
      <c r="T41" s="48">
        <v>1</v>
      </c>
      <c r="U41" s="39">
        <v>1</v>
      </c>
      <c r="V41" s="39">
        <v>2</v>
      </c>
      <c r="W41" s="39">
        <v>2</v>
      </c>
      <c r="X41" s="39">
        <v>2</v>
      </c>
      <c r="Y41" s="51">
        <f t="shared" si="92"/>
        <v>2</v>
      </c>
      <c r="Z41" s="39">
        <v>2</v>
      </c>
      <c r="AA41" s="39">
        <v>5</v>
      </c>
      <c r="AB41" s="39">
        <v>5</v>
      </c>
      <c r="AC41" s="39">
        <v>5</v>
      </c>
      <c r="AD41" s="51">
        <f t="shared" si="93"/>
        <v>5</v>
      </c>
      <c r="AE41" s="39">
        <v>5</v>
      </c>
      <c r="AF41" s="39">
        <v>5</v>
      </c>
      <c r="AG41" s="39">
        <v>5</v>
      </c>
      <c r="AH41" s="39">
        <v>5</v>
      </c>
      <c r="AI41" s="51">
        <f t="shared" si="94"/>
        <v>5</v>
      </c>
      <c r="AJ41" s="39">
        <v>5</v>
      </c>
      <c r="AK41" s="39">
        <v>5</v>
      </c>
      <c r="AL41" s="39">
        <v>5</v>
      </c>
      <c r="AM41" s="39">
        <v>5</v>
      </c>
      <c r="AN41" s="51">
        <f t="shared" si="95"/>
        <v>5</v>
      </c>
      <c r="AO41" s="39">
        <v>5</v>
      </c>
      <c r="AP41" s="39">
        <v>5</v>
      </c>
      <c r="AQ41" s="39">
        <v>5</v>
      </c>
      <c r="AR41" s="39">
        <v>5</v>
      </c>
      <c r="AS41" s="51">
        <f t="shared" si="96"/>
        <v>5</v>
      </c>
      <c r="AT41" s="39">
        <v>5</v>
      </c>
      <c r="AU41" s="39">
        <v>5</v>
      </c>
      <c r="AV41" s="39">
        <v>5</v>
      </c>
      <c r="AW41" s="39">
        <v>5</v>
      </c>
      <c r="AX41" s="51">
        <f>AW41</f>
        <v>5</v>
      </c>
      <c r="AY41" s="67">
        <f t="shared" ref="AY41:AY43" si="102">AX41</f>
        <v>5</v>
      </c>
      <c r="AZ41" s="67">
        <f t="shared" ref="AZ41:AZ43" si="103">AY41</f>
        <v>5</v>
      </c>
      <c r="BA41" s="67">
        <f t="shared" ref="BA41:BA43" si="104">AZ41</f>
        <v>5</v>
      </c>
      <c r="BB41" s="67">
        <f t="shared" ref="BB41:BB43" si="105">BA41</f>
        <v>5</v>
      </c>
      <c r="BC41" s="51">
        <f t="shared" ref="BC41:BC43" si="106">BB41</f>
        <v>5</v>
      </c>
      <c r="BD41" s="67">
        <f t="shared" ref="BD41:BD43" si="107">BC41</f>
        <v>5</v>
      </c>
      <c r="BE41" s="67">
        <f t="shared" ref="BE41:BE43" si="108">BD41</f>
        <v>5</v>
      </c>
      <c r="BF41" s="67">
        <f t="shared" ref="BF41:BF43" si="109">BE41</f>
        <v>5</v>
      </c>
      <c r="BG41" s="67">
        <f t="shared" ref="BG41:BG43" si="110">BF41</f>
        <v>5</v>
      </c>
      <c r="BH41" s="51">
        <f t="shared" ref="BH41:BH43" si="111">BG41</f>
        <v>5</v>
      </c>
      <c r="BI41" s="68">
        <f t="shared" ref="BI41:BI43" si="112">BH41</f>
        <v>5</v>
      </c>
      <c r="BJ41" s="68">
        <f t="shared" ref="BJ41:BJ43" si="113">BI41</f>
        <v>5</v>
      </c>
      <c r="BK41" s="68">
        <f t="shared" ref="BK41:BK43" si="114">BJ41</f>
        <v>5</v>
      </c>
      <c r="BL41" s="68">
        <f t="shared" ref="BL41:BL43" si="115">BK41</f>
        <v>5</v>
      </c>
    </row>
    <row r="42" spans="1:64" s="38" customFormat="1" ht="12.75" customHeight="1">
      <c r="A42" s="41"/>
      <c r="B42" s="41"/>
      <c r="C42" s="84" t="s">
        <v>197</v>
      </c>
      <c r="E42" s="48">
        <v>-100</v>
      </c>
      <c r="F42" s="48">
        <v>-100</v>
      </c>
      <c r="G42" s="48">
        <v>-100</v>
      </c>
      <c r="H42" s="48">
        <v>-100</v>
      </c>
      <c r="I42" s="48">
        <v>-100</v>
      </c>
      <c r="J42" s="48">
        <v>-100</v>
      </c>
      <c r="K42" s="48">
        <v>-100</v>
      </c>
      <c r="L42" s="48">
        <v>-100</v>
      </c>
      <c r="M42" s="48">
        <v>-100</v>
      </c>
      <c r="N42" s="48">
        <v>-100</v>
      </c>
      <c r="O42" s="48">
        <v>-100</v>
      </c>
      <c r="P42" s="48">
        <v>-100</v>
      </c>
      <c r="Q42" s="48">
        <v>-100</v>
      </c>
      <c r="R42" s="48">
        <v>-100</v>
      </c>
      <c r="S42" s="48">
        <v>-100</v>
      </c>
      <c r="T42" s="48">
        <v>-100</v>
      </c>
      <c r="U42" s="39">
        <v>-100</v>
      </c>
      <c r="V42" s="39">
        <v>-100</v>
      </c>
      <c r="W42" s="39">
        <v>-100</v>
      </c>
      <c r="X42" s="39">
        <v>-100</v>
      </c>
      <c r="Y42" s="51">
        <f t="shared" si="92"/>
        <v>-100</v>
      </c>
      <c r="Z42" s="39">
        <v>-100</v>
      </c>
      <c r="AA42" s="39">
        <v>0</v>
      </c>
      <c r="AB42" s="39">
        <v>0</v>
      </c>
      <c r="AC42" s="39">
        <v>-708</v>
      </c>
      <c r="AD42" s="51">
        <f t="shared" si="93"/>
        <v>-708</v>
      </c>
      <c r="AE42" s="39">
        <v>-1430</v>
      </c>
      <c r="AF42" s="39">
        <v>-2321</v>
      </c>
      <c r="AG42" s="39">
        <v>-2821</v>
      </c>
      <c r="AH42" s="39">
        <v>-3136</v>
      </c>
      <c r="AI42" s="51">
        <f t="shared" si="94"/>
        <v>-3136</v>
      </c>
      <c r="AJ42" s="39">
        <v>-3237</v>
      </c>
      <c r="AK42" s="39">
        <v>-3338</v>
      </c>
      <c r="AL42" s="39">
        <v>-3389</v>
      </c>
      <c r="AM42" s="39">
        <v>-3430</v>
      </c>
      <c r="AN42" s="51">
        <f t="shared" si="95"/>
        <v>-3430</v>
      </c>
      <c r="AO42" s="39">
        <v>-3430</v>
      </c>
      <c r="AP42" s="39">
        <v>-3430</v>
      </c>
      <c r="AQ42" s="39">
        <v>-3430</v>
      </c>
      <c r="AR42" s="39">
        <v>-3430</v>
      </c>
      <c r="AS42" s="51">
        <f t="shared" si="96"/>
        <v>-3430</v>
      </c>
      <c r="AT42" s="39">
        <v>-3430</v>
      </c>
      <c r="AU42" s="39">
        <v>-3430</v>
      </c>
      <c r="AV42" s="39">
        <v>-3430</v>
      </c>
      <c r="AW42" s="39">
        <v>-3430</v>
      </c>
      <c r="AX42" s="51">
        <f>AW42</f>
        <v>-3430</v>
      </c>
      <c r="AY42" s="67">
        <f t="shared" si="102"/>
        <v>-3430</v>
      </c>
      <c r="AZ42" s="67">
        <f t="shared" si="103"/>
        <v>-3430</v>
      </c>
      <c r="BA42" s="67">
        <f t="shared" si="104"/>
        <v>-3430</v>
      </c>
      <c r="BB42" s="67">
        <f t="shared" si="105"/>
        <v>-3430</v>
      </c>
      <c r="BC42" s="51">
        <f t="shared" si="106"/>
        <v>-3430</v>
      </c>
      <c r="BD42" s="67">
        <f t="shared" si="107"/>
        <v>-3430</v>
      </c>
      <c r="BE42" s="67">
        <f t="shared" si="108"/>
        <v>-3430</v>
      </c>
      <c r="BF42" s="67">
        <f t="shared" si="109"/>
        <v>-3430</v>
      </c>
      <c r="BG42" s="67">
        <f t="shared" si="110"/>
        <v>-3430</v>
      </c>
      <c r="BH42" s="51">
        <f t="shared" si="111"/>
        <v>-3430</v>
      </c>
      <c r="BI42" s="68">
        <f t="shared" si="112"/>
        <v>-3430</v>
      </c>
      <c r="BJ42" s="68">
        <f t="shared" si="113"/>
        <v>-3430</v>
      </c>
      <c r="BK42" s="68">
        <f t="shared" si="114"/>
        <v>-3430</v>
      </c>
      <c r="BL42" s="68">
        <f t="shared" si="115"/>
        <v>-3430</v>
      </c>
    </row>
    <row r="43" spans="1:64" s="38" customFormat="1" ht="12.75" customHeight="1">
      <c r="A43" s="41"/>
      <c r="B43" s="41"/>
      <c r="C43" s="84" t="s">
        <v>92</v>
      </c>
      <c r="E43" s="48">
        <v>2243</v>
      </c>
      <c r="F43" s="48">
        <v>2243</v>
      </c>
      <c r="G43" s="48">
        <v>2243</v>
      </c>
      <c r="H43" s="48">
        <v>2243</v>
      </c>
      <c r="I43" s="48">
        <v>2243</v>
      </c>
      <c r="J43" s="48">
        <v>2243</v>
      </c>
      <c r="K43" s="48">
        <v>2243</v>
      </c>
      <c r="L43" s="48">
        <v>2243</v>
      </c>
      <c r="M43" s="48">
        <v>2243</v>
      </c>
      <c r="N43" s="48">
        <v>2243</v>
      </c>
      <c r="O43" s="48">
        <v>2243</v>
      </c>
      <c r="P43" s="48">
        <v>2243</v>
      </c>
      <c r="Q43" s="48">
        <v>2243</v>
      </c>
      <c r="R43" s="48">
        <v>2243</v>
      </c>
      <c r="S43" s="48">
        <v>2261</v>
      </c>
      <c r="T43" s="48">
        <v>3024</v>
      </c>
      <c r="U43" s="39">
        <v>3022</v>
      </c>
      <c r="V43" s="39">
        <v>3048</v>
      </c>
      <c r="W43" s="39">
        <v>3047</v>
      </c>
      <c r="X43" s="39">
        <v>3047</v>
      </c>
      <c r="Y43" s="51">
        <f t="shared" si="92"/>
        <v>3047</v>
      </c>
      <c r="Z43" s="39">
        <v>3049</v>
      </c>
      <c r="AA43" s="39">
        <v>6476</v>
      </c>
      <c r="AB43" s="39">
        <v>6482</v>
      </c>
      <c r="AC43" s="39">
        <v>6209</v>
      </c>
      <c r="AD43" s="51">
        <f t="shared" si="93"/>
        <v>6209</v>
      </c>
      <c r="AE43" s="39">
        <v>6237</v>
      </c>
      <c r="AF43" s="39">
        <v>6274</v>
      </c>
      <c r="AG43" s="39">
        <v>6308</v>
      </c>
      <c r="AH43" s="39">
        <v>6326</v>
      </c>
      <c r="AI43" s="51">
        <f t="shared" si="94"/>
        <v>6326</v>
      </c>
      <c r="AJ43" s="39">
        <v>6346</v>
      </c>
      <c r="AK43" s="39">
        <v>6369</v>
      </c>
      <c r="AL43" s="39">
        <v>6389</v>
      </c>
      <c r="AM43" s="39">
        <v>6405</v>
      </c>
      <c r="AN43" s="51">
        <f t="shared" si="95"/>
        <v>6405</v>
      </c>
      <c r="AO43" s="39">
        <v>6351</v>
      </c>
      <c r="AP43" s="39">
        <v>6365</v>
      </c>
      <c r="AQ43" s="39">
        <v>6380</v>
      </c>
      <c r="AR43" s="39">
        <v>6396</v>
      </c>
      <c r="AS43" s="51">
        <f t="shared" si="96"/>
        <v>6396</v>
      </c>
      <c r="AT43" s="39">
        <v>6409</v>
      </c>
      <c r="AU43" s="39">
        <v>6421</v>
      </c>
      <c r="AV43" s="39">
        <v>6432</v>
      </c>
      <c r="AW43" s="39">
        <v>6447</v>
      </c>
      <c r="AX43" s="51">
        <f>AW43</f>
        <v>6447</v>
      </c>
      <c r="AY43" s="67">
        <f t="shared" si="102"/>
        <v>6447</v>
      </c>
      <c r="AZ43" s="67">
        <f t="shared" si="103"/>
        <v>6447</v>
      </c>
      <c r="BA43" s="67">
        <f t="shared" si="104"/>
        <v>6447</v>
      </c>
      <c r="BB43" s="67">
        <f t="shared" si="105"/>
        <v>6447</v>
      </c>
      <c r="BC43" s="51">
        <f t="shared" si="106"/>
        <v>6447</v>
      </c>
      <c r="BD43" s="67">
        <f t="shared" si="107"/>
        <v>6447</v>
      </c>
      <c r="BE43" s="67">
        <f t="shared" si="108"/>
        <v>6447</v>
      </c>
      <c r="BF43" s="67">
        <f t="shared" si="109"/>
        <v>6447</v>
      </c>
      <c r="BG43" s="67">
        <f t="shared" si="110"/>
        <v>6447</v>
      </c>
      <c r="BH43" s="51">
        <f t="shared" si="111"/>
        <v>6447</v>
      </c>
      <c r="BI43" s="68">
        <f t="shared" si="112"/>
        <v>6447</v>
      </c>
      <c r="BJ43" s="68">
        <f t="shared" si="113"/>
        <v>6447</v>
      </c>
      <c r="BK43" s="68">
        <f t="shared" si="114"/>
        <v>6447</v>
      </c>
      <c r="BL43" s="68">
        <f t="shared" si="115"/>
        <v>6447</v>
      </c>
    </row>
    <row r="44" spans="1:64" s="38" customFormat="1" ht="12.75" customHeight="1">
      <c r="A44" s="41"/>
      <c r="B44" s="41"/>
      <c r="C44" s="84" t="s">
        <v>195</v>
      </c>
      <c r="E44" s="48">
        <v>-506</v>
      </c>
      <c r="F44" s="48">
        <v>-506</v>
      </c>
      <c r="G44" s="48">
        <v>-506</v>
      </c>
      <c r="H44" s="48">
        <v>-506</v>
      </c>
      <c r="I44" s="48">
        <v>-506</v>
      </c>
      <c r="J44" s="48">
        <v>-506</v>
      </c>
      <c r="K44" s="48">
        <v>-506</v>
      </c>
      <c r="L44" s="48">
        <v>-506</v>
      </c>
      <c r="M44" s="48">
        <v>-506</v>
      </c>
      <c r="N44" s="48">
        <v>-506</v>
      </c>
      <c r="O44" s="48">
        <v>-506</v>
      </c>
      <c r="P44" s="48">
        <v>-506</v>
      </c>
      <c r="Q44" s="48">
        <v>-506</v>
      </c>
      <c r="R44" s="48">
        <v>-506</v>
      </c>
      <c r="S44" s="48">
        <v>-909</v>
      </c>
      <c r="T44" s="48">
        <v>-967</v>
      </c>
      <c r="U44" s="39">
        <v>-1323</v>
      </c>
      <c r="V44" s="39">
        <v>-2170</v>
      </c>
      <c r="W44" s="39">
        <v>-2392</v>
      </c>
      <c r="X44" s="39">
        <v>-2681</v>
      </c>
      <c r="Y44" s="51">
        <f t="shared" si="92"/>
        <v>-2681</v>
      </c>
      <c r="Z44" s="39">
        <v>-2491</v>
      </c>
      <c r="AA44" s="39">
        <v>-2659</v>
      </c>
      <c r="AB44" s="39">
        <v>-2055</v>
      </c>
      <c r="AC44" s="39">
        <v>-2315</v>
      </c>
      <c r="AD44" s="51">
        <f t="shared" si="93"/>
        <v>-2315</v>
      </c>
      <c r="AE44" s="39">
        <v>-1889</v>
      </c>
      <c r="AF44" s="39">
        <v>-949</v>
      </c>
      <c r="AG44" s="39">
        <v>-372</v>
      </c>
      <c r="AH44" s="39">
        <v>-256</v>
      </c>
      <c r="AI44" s="51">
        <f t="shared" si="94"/>
        <v>-256</v>
      </c>
      <c r="AJ44" s="39">
        <v>-60</v>
      </c>
      <c r="AK44" s="39">
        <v>79</v>
      </c>
      <c r="AL44" s="39">
        <v>708</v>
      </c>
      <c r="AM44" s="39">
        <v>-248</v>
      </c>
      <c r="AN44" s="51">
        <f t="shared" si="95"/>
        <v>-248</v>
      </c>
      <c r="AO44" s="39">
        <v>174</v>
      </c>
      <c r="AP44" s="39">
        <v>-691</v>
      </c>
      <c r="AQ44" s="39">
        <v>-2023</v>
      </c>
      <c r="AR44" s="39">
        <v>-2502</v>
      </c>
      <c r="AS44" s="51">
        <f t="shared" si="96"/>
        <v>-2502</v>
      </c>
      <c r="AT44" s="39">
        <v>-2945</v>
      </c>
      <c r="AU44" s="39">
        <v>-3239</v>
      </c>
      <c r="AV44" s="39">
        <v>-3055</v>
      </c>
      <c r="AW44" s="39">
        <v>-3249</v>
      </c>
      <c r="AX44" s="51">
        <f>AW44</f>
        <v>-3249</v>
      </c>
      <c r="AY44" s="67">
        <f ca="1">AX44+AY266+AY361+AY363</f>
        <v>-3514.011539468579</v>
      </c>
      <c r="AZ44" s="67">
        <f ca="1">AY44+AZ266+AZ361+AZ363</f>
        <v>-3520.0616614674768</v>
      </c>
      <c r="BA44" s="67">
        <f ca="1">AZ44+BA266+BA361+BA363</f>
        <v>-3341.889609874795</v>
      </c>
      <c r="BB44" s="67">
        <f ca="1">BA44+BB266+BB361+BB363</f>
        <v>-3501.4379945300952</v>
      </c>
      <c r="BC44" s="51">
        <f ca="1">BB44</f>
        <v>-3501.4379945300952</v>
      </c>
      <c r="BD44" s="67">
        <f ca="1">BC44+BD266+BD361+BD363</f>
        <v>-3715.6313858261778</v>
      </c>
      <c r="BE44" s="67">
        <f ca="1">BD44+BE266+BE361+BE363</f>
        <v>-3664.9961246760035</v>
      </c>
      <c r="BF44" s="67">
        <f ca="1">BE44+BF266+BF361+BF363</f>
        <v>-3425.2251549173643</v>
      </c>
      <c r="BG44" s="67">
        <f ca="1">BF44+BG266+BG361+BG363</f>
        <v>-3528.1464574061633</v>
      </c>
      <c r="BH44" s="51">
        <f ca="1">BG44</f>
        <v>-3528.1464574061633</v>
      </c>
      <c r="BI44" s="68">
        <f ca="1">BH44+BI266+BI361+BI363</f>
        <v>-3239.9309740296976</v>
      </c>
      <c r="BJ44" s="68">
        <f ca="1">BI44+BJ266+BJ361+BJ363</f>
        <v>-2623.1659986189297</v>
      </c>
      <c r="BK44" s="68">
        <f ca="1">BJ44+BK266+BK361+BK363</f>
        <v>-1637.5926843348484</v>
      </c>
      <c r="BL44" s="68">
        <f ca="1">BK44+BL266+BL361+BL363</f>
        <v>-246.44742969295527</v>
      </c>
    </row>
    <row r="45" spans="1:64" s="38" customFormat="1" ht="12.75" customHeight="1">
      <c r="A45" s="41"/>
      <c r="B45" s="41"/>
      <c r="C45" s="84" t="s">
        <v>196</v>
      </c>
      <c r="E45" s="48">
        <v>-118</v>
      </c>
      <c r="F45" s="48">
        <v>-118</v>
      </c>
      <c r="G45" s="48">
        <v>-118</v>
      </c>
      <c r="H45" s="48">
        <v>-118</v>
      </c>
      <c r="I45" s="48">
        <v>-118</v>
      </c>
      <c r="J45" s="48">
        <v>-118</v>
      </c>
      <c r="K45" s="48">
        <v>-118</v>
      </c>
      <c r="L45" s="48">
        <v>-118</v>
      </c>
      <c r="M45" s="48">
        <v>-118</v>
      </c>
      <c r="N45" s="48">
        <v>-118</v>
      </c>
      <c r="O45" s="48">
        <v>-118</v>
      </c>
      <c r="P45" s="48">
        <v>-118</v>
      </c>
      <c r="Q45" s="48">
        <v>-118</v>
      </c>
      <c r="R45" s="48">
        <v>-118</v>
      </c>
      <c r="S45" s="48">
        <v>-192</v>
      </c>
      <c r="T45" s="48">
        <v>-189</v>
      </c>
      <c r="U45" s="39">
        <v>-228</v>
      </c>
      <c r="V45" s="39">
        <v>-221</v>
      </c>
      <c r="W45" s="39">
        <v>-216</v>
      </c>
      <c r="X45" s="39">
        <v>-212</v>
      </c>
      <c r="Y45" s="51">
        <f t="shared" si="92"/>
        <v>-212</v>
      </c>
      <c r="Z45" s="39">
        <v>-195</v>
      </c>
      <c r="AA45" s="39">
        <v>-202</v>
      </c>
      <c r="AB45" s="39">
        <v>-226</v>
      </c>
      <c r="AC45" s="39">
        <v>-214</v>
      </c>
      <c r="AD45" s="51">
        <f t="shared" si="93"/>
        <v>-214</v>
      </c>
      <c r="AE45" s="39">
        <v>-221</v>
      </c>
      <c r="AF45" s="39">
        <v>-280</v>
      </c>
      <c r="AG45" s="39">
        <v>-359</v>
      </c>
      <c r="AH45" s="39">
        <v>-294</v>
      </c>
      <c r="AI45" s="51">
        <f t="shared" si="94"/>
        <v>-294</v>
      </c>
      <c r="AJ45" s="39">
        <v>-280</v>
      </c>
      <c r="AK45" s="39">
        <v>-276</v>
      </c>
      <c r="AL45" s="39">
        <v>-323</v>
      </c>
      <c r="AM45" s="39">
        <v>360</v>
      </c>
      <c r="AN45" s="51">
        <f t="shared" si="95"/>
        <v>360</v>
      </c>
      <c r="AO45" s="39">
        <v>-288</v>
      </c>
      <c r="AP45" s="39">
        <v>-291</v>
      </c>
      <c r="AQ45" s="39">
        <v>-251</v>
      </c>
      <c r="AR45" s="39">
        <v>-316</v>
      </c>
      <c r="AS45" s="51">
        <f t="shared" si="96"/>
        <v>-316</v>
      </c>
      <c r="AT45" s="39">
        <v>-301</v>
      </c>
      <c r="AU45" s="39">
        <v>-261</v>
      </c>
      <c r="AV45" s="39">
        <v>-269</v>
      </c>
      <c r="AW45" s="67">
        <f>-232-346</f>
        <v>-578</v>
      </c>
      <c r="AX45" s="51">
        <f>AW45</f>
        <v>-578</v>
      </c>
      <c r="AY45" s="67">
        <f t="shared" ref="AY45" si="116">AX45</f>
        <v>-578</v>
      </c>
      <c r="AZ45" s="67">
        <f t="shared" ref="AZ45" si="117">AY45</f>
        <v>-578</v>
      </c>
      <c r="BA45" s="67">
        <f t="shared" ref="BA45" si="118">AZ45</f>
        <v>-578</v>
      </c>
      <c r="BB45" s="67">
        <f t="shared" ref="BB45" si="119">BA45</f>
        <v>-578</v>
      </c>
      <c r="BC45" s="51">
        <f t="shared" ref="BC45" si="120">BB45</f>
        <v>-578</v>
      </c>
      <c r="BD45" s="67">
        <f t="shared" ref="BD45" si="121">BC45</f>
        <v>-578</v>
      </c>
      <c r="BE45" s="67">
        <f t="shared" ref="BE45" si="122">BD45</f>
        <v>-578</v>
      </c>
      <c r="BF45" s="67">
        <f t="shared" ref="BF45" si="123">BE45</f>
        <v>-578</v>
      </c>
      <c r="BG45" s="67">
        <f t="shared" ref="BG45" si="124">BF45</f>
        <v>-578</v>
      </c>
      <c r="BH45" s="51">
        <f t="shared" ref="BH45" si="125">BG45</f>
        <v>-578</v>
      </c>
      <c r="BI45" s="68">
        <f t="shared" ref="BI45" si="126">BH45</f>
        <v>-578</v>
      </c>
      <c r="BJ45" s="68">
        <f t="shared" ref="BJ45" si="127">BI45</f>
        <v>-578</v>
      </c>
      <c r="BK45" s="68">
        <f t="shared" ref="BK45" si="128">BJ45</f>
        <v>-578</v>
      </c>
      <c r="BL45" s="68">
        <f t="shared" ref="BL45" si="129">BK45</f>
        <v>-578</v>
      </c>
    </row>
    <row r="46" spans="1:64" s="38" customFormat="1" ht="12.75" customHeight="1">
      <c r="A46" s="41"/>
      <c r="B46" s="41"/>
      <c r="C46" s="84" t="s">
        <v>245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59</v>
      </c>
      <c r="T46" s="48">
        <v>119</v>
      </c>
      <c r="U46" s="39">
        <v>119</v>
      </c>
      <c r="V46" s="39">
        <v>114</v>
      </c>
      <c r="W46" s="39">
        <v>59</v>
      </c>
      <c r="X46" s="39">
        <v>37</v>
      </c>
      <c r="Y46" s="51">
        <f t="shared" si="92"/>
        <v>37</v>
      </c>
      <c r="Z46" s="39">
        <v>25</v>
      </c>
      <c r="AA46" s="39">
        <v>19</v>
      </c>
      <c r="AB46" s="39">
        <v>12</v>
      </c>
      <c r="AC46" s="39"/>
      <c r="AD46" s="51"/>
      <c r="AE46" s="39"/>
      <c r="AF46" s="39"/>
      <c r="AG46" s="39"/>
      <c r="AH46" s="39"/>
      <c r="AI46" s="51"/>
      <c r="AJ46" s="39"/>
      <c r="AK46" s="39"/>
      <c r="AL46" s="39"/>
      <c r="AM46" s="39"/>
      <c r="AN46" s="51"/>
      <c r="AO46" s="39"/>
      <c r="AP46" s="39"/>
      <c r="AQ46" s="39"/>
      <c r="AR46" s="39"/>
      <c r="AS46" s="51"/>
      <c r="AT46" s="39"/>
      <c r="AU46" s="39"/>
      <c r="AV46" s="39"/>
      <c r="AW46" s="39"/>
      <c r="AX46" s="51"/>
      <c r="AY46" s="67"/>
      <c r="AZ46" s="67"/>
      <c r="BA46" s="67"/>
      <c r="BB46" s="67"/>
      <c r="BC46" s="51"/>
      <c r="BD46" s="67"/>
      <c r="BE46" s="67"/>
      <c r="BF46" s="67"/>
      <c r="BG46" s="67"/>
      <c r="BH46" s="51"/>
      <c r="BI46" s="68"/>
      <c r="BJ46" s="68"/>
      <c r="BK46" s="68"/>
      <c r="BL46" s="68"/>
    </row>
    <row r="47" spans="1:64" s="41" customFormat="1" ht="12.75" customHeight="1">
      <c r="C47" s="73" t="s">
        <v>21</v>
      </c>
      <c r="D47" s="73"/>
      <c r="E47" s="49">
        <f t="shared" ref="E47:Q47" si="130">SUM(E40:E46)</f>
        <v>1520</v>
      </c>
      <c r="F47" s="49">
        <f t="shared" si="130"/>
        <v>1520</v>
      </c>
      <c r="G47" s="49">
        <f t="shared" si="130"/>
        <v>1520</v>
      </c>
      <c r="H47" s="49">
        <f t="shared" si="130"/>
        <v>1520</v>
      </c>
      <c r="I47" s="49">
        <f t="shared" si="130"/>
        <v>1520</v>
      </c>
      <c r="J47" s="49">
        <f t="shared" si="130"/>
        <v>1520</v>
      </c>
      <c r="K47" s="49">
        <f t="shared" si="130"/>
        <v>1520</v>
      </c>
      <c r="L47" s="49">
        <f t="shared" si="130"/>
        <v>1520</v>
      </c>
      <c r="M47" s="49">
        <f t="shared" si="130"/>
        <v>1520</v>
      </c>
      <c r="N47" s="49">
        <f t="shared" si="130"/>
        <v>1520</v>
      </c>
      <c r="O47" s="49">
        <f t="shared" si="130"/>
        <v>1520</v>
      </c>
      <c r="P47" s="49">
        <f t="shared" si="130"/>
        <v>1520</v>
      </c>
      <c r="Q47" s="49">
        <f t="shared" si="130"/>
        <v>1520</v>
      </c>
      <c r="R47" s="49">
        <f t="shared" ref="R47:BL47" si="131">SUM(R40:R46)</f>
        <v>1520</v>
      </c>
      <c r="S47" s="49">
        <f t="shared" si="131"/>
        <v>1120</v>
      </c>
      <c r="T47" s="49">
        <f t="shared" si="131"/>
        <v>1888</v>
      </c>
      <c r="U47" s="41">
        <f t="shared" si="131"/>
        <v>1491</v>
      </c>
      <c r="V47" s="41">
        <f t="shared" si="131"/>
        <v>673</v>
      </c>
      <c r="W47" s="41">
        <f t="shared" si="131"/>
        <v>400</v>
      </c>
      <c r="X47" s="41">
        <f t="shared" si="131"/>
        <v>93</v>
      </c>
      <c r="Y47" s="49">
        <f t="shared" si="131"/>
        <v>93</v>
      </c>
      <c r="Z47" s="41">
        <f t="shared" si="131"/>
        <v>290</v>
      </c>
      <c r="AA47" s="41">
        <f t="shared" si="131"/>
        <v>5072</v>
      </c>
      <c r="AB47" s="41">
        <f t="shared" si="131"/>
        <v>5651</v>
      </c>
      <c r="AC47" s="41">
        <f t="shared" si="131"/>
        <v>2977</v>
      </c>
      <c r="AD47" s="49">
        <f t="shared" si="131"/>
        <v>2977</v>
      </c>
      <c r="AE47" s="41">
        <f t="shared" si="131"/>
        <v>2702</v>
      </c>
      <c r="AF47" s="41">
        <f t="shared" si="131"/>
        <v>2729</v>
      </c>
      <c r="AG47" s="41">
        <f t="shared" si="131"/>
        <v>2761</v>
      </c>
      <c r="AH47" s="41">
        <f t="shared" si="131"/>
        <v>2645</v>
      </c>
      <c r="AI47" s="49">
        <f t="shared" si="131"/>
        <v>2645</v>
      </c>
      <c r="AJ47" s="41">
        <f t="shared" si="131"/>
        <v>2774</v>
      </c>
      <c r="AK47" s="41">
        <f t="shared" si="131"/>
        <v>2839</v>
      </c>
      <c r="AL47" s="41">
        <f t="shared" si="131"/>
        <v>3390</v>
      </c>
      <c r="AM47" s="41">
        <f t="shared" si="131"/>
        <v>3092</v>
      </c>
      <c r="AN47" s="49">
        <f t="shared" si="131"/>
        <v>3092</v>
      </c>
      <c r="AO47" s="41">
        <f t="shared" si="131"/>
        <v>2812</v>
      </c>
      <c r="AP47" s="41">
        <f t="shared" si="131"/>
        <v>1958</v>
      </c>
      <c r="AQ47" s="41">
        <f t="shared" si="131"/>
        <v>681</v>
      </c>
      <c r="AR47" s="41">
        <f t="shared" si="131"/>
        <v>153</v>
      </c>
      <c r="AS47" s="49">
        <f t="shared" si="131"/>
        <v>153</v>
      </c>
      <c r="AT47" s="41">
        <f t="shared" si="131"/>
        <v>-262</v>
      </c>
      <c r="AU47" s="41">
        <f t="shared" si="131"/>
        <v>-504</v>
      </c>
      <c r="AV47" s="41">
        <f t="shared" si="131"/>
        <v>-317</v>
      </c>
      <c r="AW47" s="41">
        <f t="shared" si="131"/>
        <v>-805</v>
      </c>
      <c r="AX47" s="49">
        <f t="shared" si="131"/>
        <v>-805</v>
      </c>
      <c r="AY47" s="41">
        <f t="shared" ca="1" si="131"/>
        <v>-1070.011539468579</v>
      </c>
      <c r="AZ47" s="41">
        <f t="shared" ca="1" si="131"/>
        <v>-1076.0616614674768</v>
      </c>
      <c r="BA47" s="41">
        <f t="shared" ca="1" si="131"/>
        <v>-897.88960987479504</v>
      </c>
      <c r="BB47" s="41">
        <f t="shared" ca="1" si="131"/>
        <v>-1057.4379945300952</v>
      </c>
      <c r="BC47" s="49">
        <f t="shared" ref="BC47" ca="1" si="132">SUM(BC40:BC46)</f>
        <v>-1057.4379945300952</v>
      </c>
      <c r="BD47" s="41">
        <f t="shared" ref="BD47:BH47" ca="1" si="133">SUM(BD40:BD46)</f>
        <v>-1271.6313858261778</v>
      </c>
      <c r="BE47" s="41">
        <f t="shared" ca="1" si="133"/>
        <v>-1220.9961246760035</v>
      </c>
      <c r="BF47" s="41">
        <f t="shared" ca="1" si="133"/>
        <v>-981.22515491736431</v>
      </c>
      <c r="BG47" s="41">
        <f t="shared" ca="1" si="133"/>
        <v>-1084.1464574061633</v>
      </c>
      <c r="BH47" s="49">
        <f t="shared" ca="1" si="133"/>
        <v>-1084.1464574061633</v>
      </c>
      <c r="BI47" s="49">
        <f t="shared" ca="1" si="131"/>
        <v>-795.93097402969761</v>
      </c>
      <c r="BJ47" s="49">
        <f t="shared" ca="1" si="131"/>
        <v>-179.16599861892973</v>
      </c>
      <c r="BK47" s="49">
        <f t="shared" ca="1" si="131"/>
        <v>806.4073156651516</v>
      </c>
      <c r="BL47" s="49">
        <f t="shared" ca="1" si="131"/>
        <v>2197.5525703070448</v>
      </c>
    </row>
    <row r="48" spans="1:64" s="38" customFormat="1" ht="12.75" customHeight="1"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Y48" s="50"/>
      <c r="AD48" s="50"/>
      <c r="AI48" s="50"/>
      <c r="AN48" s="50"/>
      <c r="AS48" s="50"/>
      <c r="AX48" s="50"/>
      <c r="BC48" s="50"/>
      <c r="BH48" s="50"/>
      <c r="BI48" s="50"/>
      <c r="BJ48" s="50"/>
      <c r="BK48" s="50"/>
      <c r="BL48" s="50"/>
    </row>
    <row r="49" spans="1:64" s="41" customFormat="1" ht="12.75" customHeight="1">
      <c r="C49" s="41" t="s">
        <v>22</v>
      </c>
      <c r="E49" s="49">
        <f t="shared" ref="E49:Q49" si="134">E47+E37</f>
        <v>20058</v>
      </c>
      <c r="F49" s="49">
        <f t="shared" si="134"/>
        <v>20058</v>
      </c>
      <c r="G49" s="49">
        <f t="shared" si="134"/>
        <v>20058</v>
      </c>
      <c r="H49" s="49">
        <f t="shared" si="134"/>
        <v>20058</v>
      </c>
      <c r="I49" s="49">
        <f t="shared" si="134"/>
        <v>20058</v>
      </c>
      <c r="J49" s="49">
        <f t="shared" si="134"/>
        <v>20058</v>
      </c>
      <c r="K49" s="49">
        <f t="shared" si="134"/>
        <v>20058</v>
      </c>
      <c r="L49" s="49">
        <f t="shared" si="134"/>
        <v>20058</v>
      </c>
      <c r="M49" s="49">
        <f t="shared" si="134"/>
        <v>20058</v>
      </c>
      <c r="N49" s="49">
        <f t="shared" si="134"/>
        <v>20058</v>
      </c>
      <c r="O49" s="49">
        <f t="shared" si="134"/>
        <v>20058</v>
      </c>
      <c r="P49" s="49">
        <f t="shared" si="134"/>
        <v>20058</v>
      </c>
      <c r="Q49" s="49">
        <f t="shared" si="134"/>
        <v>20058</v>
      </c>
      <c r="R49" s="49">
        <f t="shared" ref="R49:W49" si="135">R47+R37</f>
        <v>20058</v>
      </c>
      <c r="S49" s="49">
        <f t="shared" si="135"/>
        <v>21382</v>
      </c>
      <c r="T49" s="49">
        <f t="shared" si="135"/>
        <v>24627</v>
      </c>
      <c r="U49" s="41">
        <f t="shared" si="135"/>
        <v>25842</v>
      </c>
      <c r="V49" s="41">
        <f t="shared" si="135"/>
        <v>23116</v>
      </c>
      <c r="W49" s="41">
        <f t="shared" si="135"/>
        <v>18757</v>
      </c>
      <c r="X49" s="41">
        <f t="shared" ref="X49" si="136">X47+X37</f>
        <v>16908</v>
      </c>
      <c r="Y49" s="49">
        <f>Y47+Y37</f>
        <v>16908</v>
      </c>
      <c r="Z49" s="41">
        <f t="shared" ref="Z49:AD49" si="137">Z47+Z37</f>
        <v>16610</v>
      </c>
      <c r="AA49" s="41">
        <f t="shared" si="137"/>
        <v>19007</v>
      </c>
      <c r="AB49" s="41">
        <f t="shared" si="137"/>
        <v>19593</v>
      </c>
      <c r="AC49" s="41">
        <f t="shared" si="137"/>
        <v>19783</v>
      </c>
      <c r="AD49" s="49">
        <f t="shared" si="137"/>
        <v>19783</v>
      </c>
      <c r="AE49" s="41">
        <f t="shared" ref="AE49:AI49" si="138">AE47+AE37</f>
        <v>20941</v>
      </c>
      <c r="AF49" s="41">
        <f t="shared" si="138"/>
        <v>22066</v>
      </c>
      <c r="AG49" s="41">
        <f t="shared" si="138"/>
        <v>21694</v>
      </c>
      <c r="AH49" s="41">
        <f t="shared" si="138"/>
        <v>22497</v>
      </c>
      <c r="AI49" s="49">
        <f t="shared" si="138"/>
        <v>22497</v>
      </c>
      <c r="AJ49" s="41">
        <f t="shared" ref="AJ49:BL49" si="139">AJ47+AJ37</f>
        <v>23749</v>
      </c>
      <c r="AK49" s="41">
        <f t="shared" si="139"/>
        <v>26095</v>
      </c>
      <c r="AL49" s="41">
        <f t="shared" si="139"/>
        <v>25554</v>
      </c>
      <c r="AM49" s="41">
        <f t="shared" si="139"/>
        <v>24605</v>
      </c>
      <c r="AN49" s="49">
        <f t="shared" si="139"/>
        <v>24605</v>
      </c>
      <c r="AO49" s="41">
        <f t="shared" si="139"/>
        <v>24310</v>
      </c>
      <c r="AP49" s="41">
        <f t="shared" si="139"/>
        <v>25185</v>
      </c>
      <c r="AQ49" s="41">
        <f t="shared" si="139"/>
        <v>22979</v>
      </c>
      <c r="AR49" s="41">
        <f t="shared" si="139"/>
        <v>21802</v>
      </c>
      <c r="AS49" s="49">
        <f t="shared" si="139"/>
        <v>21802</v>
      </c>
      <c r="AT49" s="41">
        <f t="shared" si="139"/>
        <v>22047</v>
      </c>
      <c r="AU49" s="41">
        <f t="shared" si="139"/>
        <v>23083</v>
      </c>
      <c r="AV49" s="41">
        <f t="shared" si="139"/>
        <v>22990</v>
      </c>
      <c r="AW49" s="41">
        <f t="shared" si="139"/>
        <v>22311</v>
      </c>
      <c r="AX49" s="49">
        <f t="shared" si="139"/>
        <v>22311</v>
      </c>
      <c r="AY49" s="41">
        <f t="shared" ca="1" si="139"/>
        <v>21606.604203714131</v>
      </c>
      <c r="AZ49" s="41">
        <f t="shared" ca="1" si="139"/>
        <v>21199.154699610765</v>
      </c>
      <c r="BA49" s="41">
        <f t="shared" ca="1" si="139"/>
        <v>20749.855388405664</v>
      </c>
      <c r="BB49" s="41">
        <f t="shared" ca="1" si="139"/>
        <v>20301.160436491926</v>
      </c>
      <c r="BC49" s="49">
        <f t="shared" ref="BC49" ca="1" si="140">BC47+BC37</f>
        <v>20301.160436491926</v>
      </c>
      <c r="BD49" s="41">
        <f t="shared" ref="BD49:BH49" ca="1" si="141">BD47+BD37</f>
        <v>19848.513773623592</v>
      </c>
      <c r="BE49" s="41">
        <f t="shared" ca="1" si="141"/>
        <v>19434.087314115372</v>
      </c>
      <c r="BF49" s="41">
        <f t="shared" ca="1" si="141"/>
        <v>18976.267611992869</v>
      </c>
      <c r="BG49" s="41">
        <f t="shared" ca="1" si="141"/>
        <v>18516.253645221761</v>
      </c>
      <c r="BH49" s="49">
        <f t="shared" ca="1" si="141"/>
        <v>18516.253645221761</v>
      </c>
      <c r="BI49" s="49">
        <f t="shared" ca="1" si="139"/>
        <v>16700.944712301556</v>
      </c>
      <c r="BJ49" s="49">
        <f t="shared" ca="1" si="139"/>
        <v>14839.088293760513</v>
      </c>
      <c r="BK49" s="49">
        <f t="shared" ca="1" si="139"/>
        <v>12945.960059635727</v>
      </c>
      <c r="BL49" s="49">
        <f t="shared" ca="1" si="139"/>
        <v>11015.309260828442</v>
      </c>
    </row>
    <row r="50" spans="1:64" s="38" customFormat="1" ht="12.75" customHeight="1"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Y50" s="50"/>
      <c r="AD50" s="50"/>
      <c r="AI50" s="50"/>
      <c r="AN50" s="50"/>
      <c r="AS50" s="50"/>
      <c r="AX50" s="50"/>
      <c r="BC50" s="50"/>
      <c r="BH50" s="50"/>
      <c r="BI50" s="50"/>
      <c r="BJ50" s="50"/>
      <c r="BK50" s="50"/>
      <c r="BL50" s="50"/>
    </row>
    <row r="51" spans="1:64" s="38" customFormat="1" ht="12.75" customHeight="1">
      <c r="C51" s="38" t="s">
        <v>23</v>
      </c>
      <c r="E51" s="50">
        <f t="shared" ref="E51:Q51" si="142">ABS(E49-E23)</f>
        <v>0</v>
      </c>
      <c r="F51" s="50">
        <f t="shared" si="142"/>
        <v>0</v>
      </c>
      <c r="G51" s="50">
        <f t="shared" si="142"/>
        <v>0</v>
      </c>
      <c r="H51" s="50">
        <f t="shared" si="142"/>
        <v>0</v>
      </c>
      <c r="I51" s="50">
        <f t="shared" si="142"/>
        <v>0</v>
      </c>
      <c r="J51" s="50">
        <f t="shared" si="142"/>
        <v>0</v>
      </c>
      <c r="K51" s="50">
        <f t="shared" si="142"/>
        <v>0</v>
      </c>
      <c r="L51" s="50">
        <f t="shared" si="142"/>
        <v>0</v>
      </c>
      <c r="M51" s="50">
        <f t="shared" si="142"/>
        <v>0</v>
      </c>
      <c r="N51" s="50">
        <f t="shared" si="142"/>
        <v>0</v>
      </c>
      <c r="O51" s="50">
        <f t="shared" si="142"/>
        <v>0</v>
      </c>
      <c r="P51" s="50">
        <f t="shared" si="142"/>
        <v>0</v>
      </c>
      <c r="Q51" s="50">
        <f t="shared" si="142"/>
        <v>0</v>
      </c>
      <c r="R51" s="50">
        <f t="shared" ref="R51:Y51" si="143">ABS(R49-R23)</f>
        <v>0</v>
      </c>
      <c r="S51" s="50">
        <f t="shared" si="143"/>
        <v>0</v>
      </c>
      <c r="T51" s="50">
        <f t="shared" si="143"/>
        <v>0</v>
      </c>
      <c r="U51" s="38">
        <f t="shared" si="143"/>
        <v>0</v>
      </c>
      <c r="V51" s="38">
        <f t="shared" si="143"/>
        <v>0</v>
      </c>
      <c r="W51" s="38">
        <f t="shared" si="143"/>
        <v>0</v>
      </c>
      <c r="X51" s="38">
        <f t="shared" si="143"/>
        <v>0</v>
      </c>
      <c r="Y51" s="50">
        <f t="shared" si="143"/>
        <v>0</v>
      </c>
      <c r="Z51" s="38">
        <f t="shared" ref="Z51:AD51" si="144">ABS(Z49-Z23)</f>
        <v>0</v>
      </c>
      <c r="AA51" s="38">
        <f t="shared" si="144"/>
        <v>0</v>
      </c>
      <c r="AB51" s="38">
        <f t="shared" si="144"/>
        <v>0</v>
      </c>
      <c r="AC51" s="38">
        <f t="shared" si="144"/>
        <v>0</v>
      </c>
      <c r="AD51" s="50">
        <f t="shared" si="144"/>
        <v>0</v>
      </c>
      <c r="AE51" s="38">
        <f t="shared" ref="AE51:AI51" si="145">ABS(AE49-AE23)</f>
        <v>0</v>
      </c>
      <c r="AF51" s="38">
        <f t="shared" si="145"/>
        <v>0</v>
      </c>
      <c r="AG51" s="38">
        <f t="shared" si="145"/>
        <v>0</v>
      </c>
      <c r="AH51" s="38">
        <f t="shared" si="145"/>
        <v>0</v>
      </c>
      <c r="AI51" s="50">
        <f t="shared" si="145"/>
        <v>0</v>
      </c>
      <c r="AJ51" s="38">
        <f t="shared" ref="AJ51:BL51" si="146">ABS(AJ49-AJ23)</f>
        <v>0</v>
      </c>
      <c r="AK51" s="38">
        <f t="shared" si="146"/>
        <v>0</v>
      </c>
      <c r="AL51" s="38">
        <f t="shared" si="146"/>
        <v>0</v>
      </c>
      <c r="AM51" s="38">
        <f t="shared" si="146"/>
        <v>0</v>
      </c>
      <c r="AN51" s="50">
        <f t="shared" si="146"/>
        <v>0</v>
      </c>
      <c r="AO51" s="38">
        <f t="shared" si="146"/>
        <v>0</v>
      </c>
      <c r="AP51" s="38">
        <f t="shared" si="146"/>
        <v>0</v>
      </c>
      <c r="AQ51" s="38">
        <f t="shared" si="146"/>
        <v>0</v>
      </c>
      <c r="AR51" s="38">
        <f t="shared" si="146"/>
        <v>0</v>
      </c>
      <c r="AS51" s="50">
        <f t="shared" si="146"/>
        <v>0</v>
      </c>
      <c r="AT51" s="38">
        <f t="shared" si="146"/>
        <v>0</v>
      </c>
      <c r="AU51" s="38">
        <f t="shared" si="146"/>
        <v>0</v>
      </c>
      <c r="AV51" s="38">
        <f t="shared" si="146"/>
        <v>0</v>
      </c>
      <c r="AW51" s="38">
        <f t="shared" si="146"/>
        <v>0</v>
      </c>
      <c r="AX51" s="50">
        <f t="shared" si="146"/>
        <v>0</v>
      </c>
      <c r="AY51" s="38">
        <f t="shared" ca="1" si="146"/>
        <v>98</v>
      </c>
      <c r="AZ51" s="38">
        <f t="shared" ca="1" si="146"/>
        <v>107</v>
      </c>
      <c r="BA51" s="38">
        <f t="shared" ca="1" si="146"/>
        <v>114.99999999999636</v>
      </c>
      <c r="BB51" s="38">
        <f t="shared" ca="1" si="146"/>
        <v>138.99999999999636</v>
      </c>
      <c r="BC51" s="50">
        <f t="shared" ref="BC51" ca="1" si="147">ABS(BC49-BC23)</f>
        <v>138.99999999999636</v>
      </c>
      <c r="BD51" s="38">
        <f t="shared" ref="BD51:BH51" ca="1" si="148">ABS(BD49-BD23)</f>
        <v>210</v>
      </c>
      <c r="BE51" s="38">
        <f t="shared" ca="1" si="148"/>
        <v>240</v>
      </c>
      <c r="BF51" s="38">
        <f t="shared" ca="1" si="148"/>
        <v>269</v>
      </c>
      <c r="BG51" s="38">
        <f t="shared" ca="1" si="148"/>
        <v>314</v>
      </c>
      <c r="BH51" s="50">
        <f t="shared" ca="1" si="148"/>
        <v>314</v>
      </c>
      <c r="BI51" s="50">
        <f t="shared" ca="1" si="146"/>
        <v>463.99999999999636</v>
      </c>
      <c r="BJ51" s="50">
        <f t="shared" ca="1" si="146"/>
        <v>508.99999999999818</v>
      </c>
      <c r="BK51" s="50">
        <f t="shared" ca="1" si="146"/>
        <v>586.99999999999636</v>
      </c>
      <c r="BL51" s="50">
        <f t="shared" ca="1" si="146"/>
        <v>614.99999999999454</v>
      </c>
    </row>
    <row r="52" spans="1:64" s="38" customFormat="1" ht="12.75" customHeight="1"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Y52" s="50"/>
      <c r="AD52" s="50"/>
      <c r="AI52" s="50"/>
      <c r="AN52" s="50"/>
      <c r="AS52" s="50"/>
      <c r="AX52" s="50"/>
      <c r="AZ52" s="38">
        <f ca="1">AZ51-AY51</f>
        <v>9</v>
      </c>
      <c r="BA52" s="38">
        <f ca="1">BA51-AZ51</f>
        <v>7.999999999996362</v>
      </c>
      <c r="BB52" s="38">
        <f ca="1">BB51-BA51</f>
        <v>24</v>
      </c>
      <c r="BC52" s="50">
        <f t="shared" ref="BC52:BL52" ca="1" si="149">BC51-BB51</f>
        <v>0</v>
      </c>
      <c r="BD52" s="38">
        <f t="shared" ca="1" si="149"/>
        <v>71.000000000003638</v>
      </c>
      <c r="BE52" s="38">
        <f t="shared" ca="1" si="149"/>
        <v>30</v>
      </c>
      <c r="BF52" s="38">
        <f t="shared" ca="1" si="149"/>
        <v>29</v>
      </c>
      <c r="BG52" s="38">
        <f t="shared" ca="1" si="149"/>
        <v>45</v>
      </c>
      <c r="BH52" s="50">
        <f t="shared" ca="1" si="149"/>
        <v>0</v>
      </c>
      <c r="BI52" s="50">
        <f t="shared" ca="1" si="149"/>
        <v>149.99999999999636</v>
      </c>
      <c r="BJ52" s="50">
        <f t="shared" ca="1" si="149"/>
        <v>45.000000000001819</v>
      </c>
      <c r="BK52" s="50">
        <f t="shared" ca="1" si="149"/>
        <v>77.999999999998181</v>
      </c>
      <c r="BL52" s="50">
        <f t="shared" ca="1" si="149"/>
        <v>27.999999999998181</v>
      </c>
    </row>
    <row r="53" spans="1:64" s="38" customFormat="1" ht="16.8" customHeight="1">
      <c r="C53" s="135" t="s">
        <v>295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Y53" s="50"/>
      <c r="AD53" s="50"/>
      <c r="AI53" s="50"/>
      <c r="AN53" s="50"/>
      <c r="AS53" s="50"/>
      <c r="AX53" s="50"/>
      <c r="BC53" s="50"/>
      <c r="BH53" s="50"/>
      <c r="BI53" s="50"/>
      <c r="BJ53" s="50"/>
      <c r="BK53" s="50"/>
      <c r="BL53" s="50"/>
    </row>
    <row r="54" spans="1:64" s="38" customFormat="1" ht="12.75" customHeight="1">
      <c r="C54" s="156" t="s">
        <v>289</v>
      </c>
      <c r="E54" s="50">
        <f t="shared" ref="E54:Q54" si="150">E202</f>
        <v>8803</v>
      </c>
      <c r="F54" s="50">
        <f t="shared" si="150"/>
        <v>8803</v>
      </c>
      <c r="G54" s="50">
        <f t="shared" si="150"/>
        <v>8803</v>
      </c>
      <c r="H54" s="50">
        <f t="shared" si="150"/>
        <v>8803</v>
      </c>
      <c r="I54" s="50">
        <f t="shared" si="150"/>
        <v>8803</v>
      </c>
      <c r="J54" s="50">
        <f t="shared" si="150"/>
        <v>8803</v>
      </c>
      <c r="K54" s="50">
        <f t="shared" si="150"/>
        <v>8803</v>
      </c>
      <c r="L54" s="50">
        <f t="shared" si="150"/>
        <v>8803</v>
      </c>
      <c r="M54" s="50">
        <f t="shared" si="150"/>
        <v>8803</v>
      </c>
      <c r="N54" s="50">
        <f t="shared" si="150"/>
        <v>8803</v>
      </c>
      <c r="O54" s="50">
        <f t="shared" si="150"/>
        <v>8803</v>
      </c>
      <c r="P54" s="50">
        <f t="shared" si="150"/>
        <v>8803</v>
      </c>
      <c r="Q54" s="50">
        <f t="shared" si="150"/>
        <v>8803</v>
      </c>
      <c r="R54" s="50">
        <f t="shared" ref="R54:T54" si="151">R202</f>
        <v>8803</v>
      </c>
      <c r="S54" s="50">
        <f t="shared" si="151"/>
        <v>9504</v>
      </c>
      <c r="T54" s="50">
        <f t="shared" si="151"/>
        <v>9779</v>
      </c>
      <c r="Y54" s="50">
        <f>Y202</f>
        <v>5258</v>
      </c>
      <c r="Z54" s="84">
        <f>SUM(Z202,V202:X202)</f>
        <v>4624</v>
      </c>
      <c r="AA54" s="84">
        <f>SUM(Z202:AA202,W202:X202)</f>
        <v>5665</v>
      </c>
      <c r="AB54" s="84">
        <f>SUM(Z202:AB202,X202)</f>
        <v>6623</v>
      </c>
      <c r="AC54" s="84">
        <f>SUM(Z202:AC202)</f>
        <v>7337</v>
      </c>
      <c r="AD54" s="50">
        <f>AC54</f>
        <v>7337</v>
      </c>
      <c r="AE54" s="84">
        <f>SUM(AE202,AA202:AC202)</f>
        <v>7858</v>
      </c>
      <c r="AF54" s="84">
        <f>SUM(AE202:AF202,AB202:AC202)</f>
        <v>8329</v>
      </c>
      <c r="AG54" s="84">
        <f>SUM(AE202:AG202,AC202)</f>
        <v>8599</v>
      </c>
      <c r="AH54" s="84">
        <f>SUM(AE202:AH202)</f>
        <v>8685</v>
      </c>
      <c r="AI54" s="50">
        <f>AH54</f>
        <v>8685</v>
      </c>
      <c r="AJ54" s="84">
        <f>SUM(AJ202,AF202:AH202)</f>
        <v>8922</v>
      </c>
      <c r="AK54" s="84">
        <f>SUM(AJ202:AK202,AG202:AH202)</f>
        <v>9015</v>
      </c>
      <c r="AL54" s="84">
        <f>SUM(AJ202:AL202,AH202)</f>
        <v>9222</v>
      </c>
      <c r="AM54" s="84">
        <f>SUM(AJ202:AM202)</f>
        <v>9371</v>
      </c>
      <c r="AN54" s="50">
        <f>AM54</f>
        <v>9371</v>
      </c>
      <c r="AO54" s="84">
        <f>SUM(AO202,AK202:AM202)</f>
        <v>9404</v>
      </c>
      <c r="AP54" s="84">
        <f>SUM(AO202:AP202,AL202:AM202)</f>
        <v>9320</v>
      </c>
      <c r="AQ54" s="84">
        <f>SUM(AO202:AQ202,AM202)</f>
        <v>9193</v>
      </c>
      <c r="AR54" s="84">
        <f>SUM(AO202:AR202)</f>
        <v>9049</v>
      </c>
      <c r="AS54" s="50">
        <f>AR54</f>
        <v>9049</v>
      </c>
      <c r="AT54" s="84">
        <f>SUM(AT202,AP202:AR202)</f>
        <v>8782</v>
      </c>
      <c r="AU54" s="84">
        <f>SUM(AT202:AU202,AQ202:AR202)</f>
        <v>8614</v>
      </c>
      <c r="AV54" s="84">
        <f>SUM(AT202:AV202,AR202)</f>
        <v>8516</v>
      </c>
      <c r="AW54" s="84">
        <f>SUM(AT202:AW202)</f>
        <v>8504</v>
      </c>
      <c r="AX54" s="50">
        <f>AW54</f>
        <v>8504</v>
      </c>
      <c r="AY54" s="84">
        <f>SUM(AY202,AU202:AW202)</f>
        <v>8560.7691608800014</v>
      </c>
      <c r="AZ54" s="84">
        <f>SUM(AY202:AZ202,AV202:AW202)</f>
        <v>8599.5607766860157</v>
      </c>
      <c r="BA54" s="84">
        <f>SUM(AY202:BA202,AW202)</f>
        <v>8647.3876358360212</v>
      </c>
      <c r="BB54" s="84">
        <f>SUM(AY202:BB202)</f>
        <v>8698.847839285052</v>
      </c>
      <c r="BC54" s="50">
        <f>BB54</f>
        <v>8698.847839285052</v>
      </c>
      <c r="BD54" s="84">
        <f>SUM(BD202,AZ202:BB202)</f>
        <v>8736.2432225026532</v>
      </c>
      <c r="BE54" s="84">
        <f>SUM(BD202:BE202,BA202:BB202)</f>
        <v>8780.7190548187718</v>
      </c>
      <c r="BF54" s="84">
        <f>SUM(BD202:BF202,BB202)</f>
        <v>8831.2355920017726</v>
      </c>
      <c r="BG54" s="84">
        <f>SUM(BD202:BG202)</f>
        <v>8872.824796070754</v>
      </c>
      <c r="BH54" s="50">
        <f>BG54</f>
        <v>8872.824796070754</v>
      </c>
      <c r="BI54" s="50">
        <f>BI202</f>
        <v>9072.5570713088746</v>
      </c>
      <c r="BJ54" s="50">
        <f>BJ202</f>
        <v>9228.7240372904198</v>
      </c>
      <c r="BK54" s="50">
        <f>BK202</f>
        <v>9413.2985180362302</v>
      </c>
      <c r="BL54" s="50">
        <f>BL202</f>
        <v>9601.5644883969562</v>
      </c>
    </row>
    <row r="55" spans="1:64" s="18" customFormat="1" ht="12.75" customHeight="1">
      <c r="C55" s="156" t="s">
        <v>292</v>
      </c>
      <c r="E55" s="53">
        <f t="shared" ref="E55:Q55" si="152">E8/E54</f>
        <v>4.907417925707145E-2</v>
      </c>
      <c r="F55" s="53">
        <f t="shared" si="152"/>
        <v>4.907417925707145E-2</v>
      </c>
      <c r="G55" s="53">
        <f t="shared" si="152"/>
        <v>4.907417925707145E-2</v>
      </c>
      <c r="H55" s="53">
        <f t="shared" si="152"/>
        <v>4.907417925707145E-2</v>
      </c>
      <c r="I55" s="53">
        <f t="shared" si="152"/>
        <v>4.907417925707145E-2</v>
      </c>
      <c r="J55" s="53">
        <f t="shared" si="152"/>
        <v>4.907417925707145E-2</v>
      </c>
      <c r="K55" s="53">
        <f t="shared" si="152"/>
        <v>4.907417925707145E-2</v>
      </c>
      <c r="L55" s="53">
        <f t="shared" si="152"/>
        <v>4.907417925707145E-2</v>
      </c>
      <c r="M55" s="53">
        <f t="shared" si="152"/>
        <v>4.907417925707145E-2</v>
      </c>
      <c r="N55" s="53">
        <f t="shared" si="152"/>
        <v>4.907417925707145E-2</v>
      </c>
      <c r="O55" s="53">
        <f t="shared" si="152"/>
        <v>4.907417925707145E-2</v>
      </c>
      <c r="P55" s="53">
        <f t="shared" si="152"/>
        <v>4.907417925707145E-2</v>
      </c>
      <c r="Q55" s="53">
        <f t="shared" si="152"/>
        <v>4.907417925707145E-2</v>
      </c>
      <c r="R55" s="53">
        <f>R8/R54</f>
        <v>4.907417925707145E-2</v>
      </c>
      <c r="S55" s="53">
        <f t="shared" ref="S55:BL55" si="153">S8/S54</f>
        <v>2.9776936026936027E-2</v>
      </c>
      <c r="T55" s="53">
        <f t="shared" si="153"/>
        <v>5.0618672665916763E-2</v>
      </c>
      <c r="Y55" s="53">
        <f t="shared" si="153"/>
        <v>7.8166603271205781E-2</v>
      </c>
      <c r="Z55" s="18">
        <f t="shared" si="153"/>
        <v>0.29260380622837368</v>
      </c>
      <c r="AA55" s="18">
        <f t="shared" si="153"/>
        <v>0.15445719329214475</v>
      </c>
      <c r="AB55" s="18">
        <f t="shared" si="153"/>
        <v>0.11520459006492526</v>
      </c>
      <c r="AC55" s="18">
        <f t="shared" si="153"/>
        <v>5.3564127027395395E-2</v>
      </c>
      <c r="AD55" s="53">
        <f t="shared" si="153"/>
        <v>5.3564127027395395E-2</v>
      </c>
      <c r="AE55" s="18">
        <f t="shared" si="153"/>
        <v>7.6482565538304917E-2</v>
      </c>
      <c r="AF55" s="18">
        <f t="shared" si="153"/>
        <v>6.267258974666827E-2</v>
      </c>
      <c r="AG55" s="18">
        <f t="shared" si="153"/>
        <v>5.8378881265263402E-2</v>
      </c>
      <c r="AH55" s="18">
        <f t="shared" si="153"/>
        <v>5.4691997697179043E-2</v>
      </c>
      <c r="AI55" s="53">
        <f t="shared" si="153"/>
        <v>5.4691997697179043E-2</v>
      </c>
      <c r="AJ55" s="18">
        <f t="shared" si="153"/>
        <v>5.761040125532392E-2</v>
      </c>
      <c r="AK55" s="18">
        <f t="shared" si="153"/>
        <v>5.3688297282307264E-2</v>
      </c>
      <c r="AL55" s="18">
        <f t="shared" si="153"/>
        <v>5.0097592713077427E-2</v>
      </c>
      <c r="AM55" s="18">
        <f t="shared" si="153"/>
        <v>4.7166791164230074E-2</v>
      </c>
      <c r="AN55" s="53">
        <f t="shared" si="153"/>
        <v>4.7166791164230074E-2</v>
      </c>
      <c r="AO55" s="18">
        <f t="shared" si="153"/>
        <v>5.104210974053594E-2</v>
      </c>
      <c r="AP55" s="18">
        <f t="shared" si="153"/>
        <v>4.5708154506437768E-2</v>
      </c>
      <c r="AQ55" s="18">
        <f t="shared" si="153"/>
        <v>4.3946481018165999E-2</v>
      </c>
      <c r="AR55" s="18">
        <f t="shared" si="153"/>
        <v>5.9785611669797768E-2</v>
      </c>
      <c r="AS55" s="53">
        <f t="shared" si="153"/>
        <v>5.9785611669797768E-2</v>
      </c>
      <c r="AT55" s="18">
        <f t="shared" si="153"/>
        <v>4.4978364837166933E-2</v>
      </c>
      <c r="AU55" s="18">
        <f t="shared" si="153"/>
        <v>7.2672393777571398E-2</v>
      </c>
      <c r="AV55" s="18">
        <f t="shared" si="153"/>
        <v>5.3311413809300143E-2</v>
      </c>
      <c r="AW55" s="18">
        <f t="shared" si="153"/>
        <v>7.0790216368767644E-2</v>
      </c>
      <c r="AX55" s="53">
        <f t="shared" si="153"/>
        <v>7.0790216368767644E-2</v>
      </c>
      <c r="AY55" s="18">
        <f t="shared" si="153"/>
        <v>7.032078411259457E-2</v>
      </c>
      <c r="AZ55" s="18">
        <f t="shared" si="153"/>
        <v>7.0003575256083111E-2</v>
      </c>
      <c r="BA55" s="18">
        <f t="shared" si="153"/>
        <v>6.9616400391862301E-2</v>
      </c>
      <c r="BB55" s="18">
        <f t="shared" si="153"/>
        <v>6.9204567216510554E-2</v>
      </c>
      <c r="BC55" s="53">
        <f t="shared" si="153"/>
        <v>6.9204567216510554E-2</v>
      </c>
      <c r="BD55" s="18">
        <f t="shared" si="153"/>
        <v>6.8908337905403044E-2</v>
      </c>
      <c r="BE55" s="18">
        <f t="shared" si="153"/>
        <v>6.8559305478476537E-2</v>
      </c>
      <c r="BF55" s="18">
        <f t="shared" si="153"/>
        <v>6.8167131736947009E-2</v>
      </c>
      <c r="BG55" s="18">
        <f t="shared" si="153"/>
        <v>6.78476149181476E-2</v>
      </c>
      <c r="BH55" s="53">
        <f t="shared" si="153"/>
        <v>6.78476149181476E-2</v>
      </c>
      <c r="BI55" s="53">
        <f t="shared" si="153"/>
        <v>6.6353950189387015E-2</v>
      </c>
      <c r="BJ55" s="53">
        <f t="shared" si="153"/>
        <v>6.523111944484461E-2</v>
      </c>
      <c r="BK55" s="53">
        <f t="shared" si="153"/>
        <v>6.3952077887102554E-2</v>
      </c>
      <c r="BL55" s="53">
        <f t="shared" si="153"/>
        <v>6.2698115575590727E-2</v>
      </c>
    </row>
    <row r="56" spans="1:64" s="18" customFormat="1" ht="12.75" customHeight="1">
      <c r="C56" s="156" t="s">
        <v>290</v>
      </c>
      <c r="E56" s="53">
        <f t="shared" ref="E56:Q56" si="154">E9/E54</f>
        <v>0.1550607747358855</v>
      </c>
      <c r="F56" s="53">
        <f t="shared" si="154"/>
        <v>0.1550607747358855</v>
      </c>
      <c r="G56" s="53">
        <f t="shared" si="154"/>
        <v>0.1550607747358855</v>
      </c>
      <c r="H56" s="53">
        <f t="shared" si="154"/>
        <v>0.1550607747358855</v>
      </c>
      <c r="I56" s="53">
        <f t="shared" si="154"/>
        <v>0.1550607747358855</v>
      </c>
      <c r="J56" s="53">
        <f t="shared" si="154"/>
        <v>0.1550607747358855</v>
      </c>
      <c r="K56" s="53">
        <f t="shared" si="154"/>
        <v>0.1550607747358855</v>
      </c>
      <c r="L56" s="53">
        <f t="shared" si="154"/>
        <v>0.1550607747358855</v>
      </c>
      <c r="M56" s="53">
        <f t="shared" si="154"/>
        <v>0.1550607747358855</v>
      </c>
      <c r="N56" s="53">
        <f t="shared" si="154"/>
        <v>0.1550607747358855</v>
      </c>
      <c r="O56" s="53">
        <f t="shared" si="154"/>
        <v>0.1550607747358855</v>
      </c>
      <c r="P56" s="53">
        <f t="shared" si="154"/>
        <v>0.1550607747358855</v>
      </c>
      <c r="Q56" s="53">
        <f t="shared" si="154"/>
        <v>0.1550607747358855</v>
      </c>
      <c r="R56" s="53">
        <f t="shared" ref="R56:T56" si="155">R9/R54</f>
        <v>0.1550607747358855</v>
      </c>
      <c r="S56" s="53">
        <f t="shared" si="155"/>
        <v>0.16698232323232323</v>
      </c>
      <c r="T56" s="53">
        <f t="shared" si="155"/>
        <v>0.18815829839451886</v>
      </c>
      <c r="Y56" s="53">
        <f>Y9/Y54</f>
        <v>0.14777481932293648</v>
      </c>
      <c r="Z56" s="18">
        <f t="shared" ref="Z56:AX56" si="156">Z9/Z54</f>
        <v>0.17149653979238755</v>
      </c>
      <c r="AA56" s="18">
        <f t="shared" si="156"/>
        <v>0.18075904677846424</v>
      </c>
      <c r="AB56" s="18">
        <f t="shared" si="156"/>
        <v>0.13438019024611203</v>
      </c>
      <c r="AC56" s="18">
        <f t="shared" si="156"/>
        <v>0.10331198037344964</v>
      </c>
      <c r="AD56" s="53">
        <f t="shared" si="156"/>
        <v>0.10331198037344964</v>
      </c>
      <c r="AE56" s="18">
        <f t="shared" si="156"/>
        <v>0.10180707559175363</v>
      </c>
      <c r="AF56" s="18">
        <f t="shared" si="156"/>
        <v>0.11706087165325969</v>
      </c>
      <c r="AG56" s="18">
        <f t="shared" si="156"/>
        <v>0.12245609954645889</v>
      </c>
      <c r="AH56" s="18">
        <f t="shared" si="156"/>
        <v>0.11214738054116292</v>
      </c>
      <c r="AI56" s="53">
        <f t="shared" si="156"/>
        <v>0.11214738054116292</v>
      </c>
      <c r="AJ56" s="18">
        <f t="shared" si="156"/>
        <v>0.11589329746693566</v>
      </c>
      <c r="AK56" s="18">
        <f t="shared" si="156"/>
        <v>0.14331669439822517</v>
      </c>
      <c r="AL56" s="18">
        <f t="shared" si="156"/>
        <v>0.15256994144437216</v>
      </c>
      <c r="AM56" s="18">
        <f t="shared" si="156"/>
        <v>0.12709422687013125</v>
      </c>
      <c r="AN56" s="53">
        <f t="shared" si="156"/>
        <v>0.12709422687013125</v>
      </c>
      <c r="AO56" s="18">
        <f t="shared" si="156"/>
        <v>0.12898766482347937</v>
      </c>
      <c r="AP56" s="18">
        <f t="shared" si="156"/>
        <v>0.1359442060085837</v>
      </c>
      <c r="AQ56" s="18">
        <f t="shared" si="156"/>
        <v>0.145763080604808</v>
      </c>
      <c r="AR56" s="18">
        <f t="shared" si="156"/>
        <v>0.13316388551221128</v>
      </c>
      <c r="AS56" s="53">
        <f t="shared" si="156"/>
        <v>0.13316388551221128</v>
      </c>
      <c r="AT56" s="18">
        <f t="shared" si="156"/>
        <v>0.14028695058073332</v>
      </c>
      <c r="AU56" s="18">
        <f t="shared" si="156"/>
        <v>0.1335035987926631</v>
      </c>
      <c r="AV56" s="18">
        <f t="shared" si="156"/>
        <v>0.14208548614372946</v>
      </c>
      <c r="AW56" s="18">
        <f t="shared" si="156"/>
        <v>0.13052681091251175</v>
      </c>
      <c r="AX56" s="53">
        <f t="shared" si="156"/>
        <v>0.13052681091251175</v>
      </c>
      <c r="AY56" s="168">
        <f>AX56</f>
        <v>0.13052681091251175</v>
      </c>
      <c r="AZ56" s="168">
        <f>AY56</f>
        <v>0.13052681091251175</v>
      </c>
      <c r="BA56" s="168">
        <f>AZ56</f>
        <v>0.13052681091251175</v>
      </c>
      <c r="BB56" s="168">
        <f>BA56</f>
        <v>0.13052681091251175</v>
      </c>
      <c r="BC56" s="53">
        <f t="shared" ref="BC56" si="157">BC9/BC54</f>
        <v>0.13052681091251175</v>
      </c>
      <c r="BD56" s="168">
        <f>AY56</f>
        <v>0.13052681091251175</v>
      </c>
      <c r="BE56" s="168">
        <f t="shared" ref="BE56:BE57" si="158">AZ56</f>
        <v>0.13052681091251175</v>
      </c>
      <c r="BF56" s="168">
        <f t="shared" ref="BF56:BF57" si="159">BA56</f>
        <v>0.13052681091251175</v>
      </c>
      <c r="BG56" s="168">
        <f t="shared" ref="BG56:BG57" si="160">BB56</f>
        <v>0.13052681091251175</v>
      </c>
      <c r="BH56" s="53">
        <f t="shared" ref="BH56" si="161">BH9/BH54</f>
        <v>0.13052681091251175</v>
      </c>
      <c r="BI56" s="216">
        <f>BH56</f>
        <v>0.13052681091251175</v>
      </c>
      <c r="BJ56" s="216">
        <f t="shared" ref="BJ56:BL56" si="162">BI56</f>
        <v>0.13052681091251175</v>
      </c>
      <c r="BK56" s="216">
        <f t="shared" si="162"/>
        <v>0.13052681091251175</v>
      </c>
      <c r="BL56" s="216">
        <f t="shared" si="162"/>
        <v>0.13052681091251175</v>
      </c>
    </row>
    <row r="57" spans="1:64" s="18" customFormat="1" ht="12.75" customHeight="1">
      <c r="C57" s="156" t="s">
        <v>291</v>
      </c>
      <c r="E57" s="53">
        <f t="shared" ref="E57:Q57" si="163">E10/E54</f>
        <v>7.8041576735203913E-2</v>
      </c>
      <c r="F57" s="53">
        <f t="shared" si="163"/>
        <v>7.8041576735203913E-2</v>
      </c>
      <c r="G57" s="53">
        <f t="shared" si="163"/>
        <v>7.8041576735203913E-2</v>
      </c>
      <c r="H57" s="53">
        <f t="shared" si="163"/>
        <v>7.8041576735203913E-2</v>
      </c>
      <c r="I57" s="53">
        <f t="shared" si="163"/>
        <v>7.8041576735203913E-2</v>
      </c>
      <c r="J57" s="53">
        <f t="shared" si="163"/>
        <v>7.8041576735203913E-2</v>
      </c>
      <c r="K57" s="53">
        <f t="shared" si="163"/>
        <v>7.8041576735203913E-2</v>
      </c>
      <c r="L57" s="53">
        <f t="shared" si="163"/>
        <v>7.8041576735203913E-2</v>
      </c>
      <c r="M57" s="53">
        <f t="shared" si="163"/>
        <v>7.8041576735203913E-2</v>
      </c>
      <c r="N57" s="53">
        <f t="shared" si="163"/>
        <v>7.8041576735203913E-2</v>
      </c>
      <c r="O57" s="53">
        <f t="shared" si="163"/>
        <v>7.8041576735203913E-2</v>
      </c>
      <c r="P57" s="53">
        <f t="shared" si="163"/>
        <v>7.8041576735203913E-2</v>
      </c>
      <c r="Q57" s="53">
        <f t="shared" si="163"/>
        <v>7.8041576735203913E-2</v>
      </c>
      <c r="R57" s="53">
        <f t="shared" ref="R57:T57" si="164">R10/R54</f>
        <v>7.8041576735203913E-2</v>
      </c>
      <c r="S57" s="53">
        <f t="shared" si="164"/>
        <v>9.4907407407407413E-2</v>
      </c>
      <c r="T57" s="53">
        <f t="shared" si="164"/>
        <v>7.0457101953164944E-2</v>
      </c>
      <c r="Y57" s="53">
        <f>Y10/Y54</f>
        <v>7.0939520730315703E-2</v>
      </c>
      <c r="Z57" s="18">
        <f t="shared" ref="Z57:AX57" si="165">Z10/Z54</f>
        <v>0.16998269896193771</v>
      </c>
      <c r="AA57" s="18">
        <f t="shared" si="165"/>
        <v>0.20900264783759928</v>
      </c>
      <c r="AB57" s="18">
        <f t="shared" si="165"/>
        <v>9.6934923750566213E-2</v>
      </c>
      <c r="AC57" s="18">
        <f t="shared" si="165"/>
        <v>0.13861251192585525</v>
      </c>
      <c r="AD57" s="53">
        <f t="shared" si="165"/>
        <v>0.13861251192585525</v>
      </c>
      <c r="AE57" s="18">
        <f t="shared" si="165"/>
        <v>0.16938152201578011</v>
      </c>
      <c r="AF57" s="18">
        <f t="shared" si="165"/>
        <v>0.13134830111658063</v>
      </c>
      <c r="AG57" s="18">
        <f t="shared" si="165"/>
        <v>0.10861728107919526</v>
      </c>
      <c r="AH57" s="18">
        <f t="shared" si="165"/>
        <v>0.13298791018998274</v>
      </c>
      <c r="AI57" s="53">
        <f t="shared" si="165"/>
        <v>0.13298791018998274</v>
      </c>
      <c r="AJ57" s="18">
        <f t="shared" si="165"/>
        <v>0.10984084286034522</v>
      </c>
      <c r="AK57" s="18">
        <f t="shared" si="165"/>
        <v>0.11436494731003882</v>
      </c>
      <c r="AL57" s="18">
        <f t="shared" si="165"/>
        <v>9.0544350466276291E-2</v>
      </c>
      <c r="AM57" s="18">
        <f t="shared" si="165"/>
        <v>7.7473055170205959E-2</v>
      </c>
      <c r="AN57" s="53">
        <f t="shared" si="165"/>
        <v>7.7473055170205959E-2</v>
      </c>
      <c r="AO57" s="18">
        <f t="shared" si="165"/>
        <v>7.9859634198213528E-2</v>
      </c>
      <c r="AP57" s="18">
        <f t="shared" si="165"/>
        <v>8.0901287553648074E-2</v>
      </c>
      <c r="AQ57" s="18">
        <f t="shared" si="165"/>
        <v>0.10083759382138584</v>
      </c>
      <c r="AR57" s="18">
        <f t="shared" si="165"/>
        <v>9.879544701071942E-2</v>
      </c>
      <c r="AS57" s="53">
        <f t="shared" si="165"/>
        <v>9.879544701071942E-2</v>
      </c>
      <c r="AT57" s="18">
        <f t="shared" si="165"/>
        <v>0.11500797084946482</v>
      </c>
      <c r="AU57" s="18">
        <f t="shared" si="165"/>
        <v>8.5790573485024377E-2</v>
      </c>
      <c r="AV57" s="18">
        <f t="shared" si="165"/>
        <v>9.1592296852982619E-2</v>
      </c>
      <c r="AW57" s="18">
        <f t="shared" si="165"/>
        <v>9.1956726246472248E-2</v>
      </c>
      <c r="AX57" s="53">
        <f t="shared" si="165"/>
        <v>9.1956726246472248E-2</v>
      </c>
      <c r="AY57" s="168">
        <f>AX57</f>
        <v>9.1956726246472248E-2</v>
      </c>
      <c r="AZ57" s="168">
        <f t="shared" ref="AZ57:BA59" si="166">AY57</f>
        <v>9.1956726246472248E-2</v>
      </c>
      <c r="BA57" s="168">
        <f t="shared" si="166"/>
        <v>9.1956726246472248E-2</v>
      </c>
      <c r="BB57" s="168">
        <f t="shared" ref="BB57" si="167">BA57</f>
        <v>9.1956726246472248E-2</v>
      </c>
      <c r="BC57" s="53">
        <f t="shared" ref="BC57" si="168">BC10/BC54</f>
        <v>9.1956726246472248E-2</v>
      </c>
      <c r="BD57" s="168">
        <f>AY57</f>
        <v>9.1956726246472248E-2</v>
      </c>
      <c r="BE57" s="168">
        <f t="shared" si="158"/>
        <v>9.1956726246472248E-2</v>
      </c>
      <c r="BF57" s="168">
        <f t="shared" si="159"/>
        <v>9.1956726246472248E-2</v>
      </c>
      <c r="BG57" s="168">
        <f t="shared" si="160"/>
        <v>9.1956726246472248E-2</v>
      </c>
      <c r="BH57" s="53">
        <f t="shared" ref="BH57" si="169">BH10/BH54</f>
        <v>9.1956726246472248E-2</v>
      </c>
      <c r="BI57" s="216">
        <f>BH57</f>
        <v>9.1956726246472248E-2</v>
      </c>
      <c r="BJ57" s="216">
        <f t="shared" ref="BJ57:BL59" si="170">BI57</f>
        <v>9.1956726246472248E-2</v>
      </c>
      <c r="BK57" s="216">
        <f t="shared" si="170"/>
        <v>9.1956726246472248E-2</v>
      </c>
      <c r="BL57" s="216">
        <f t="shared" si="170"/>
        <v>9.1956726246472248E-2</v>
      </c>
    </row>
    <row r="58" spans="1:64" s="18" customFormat="1" ht="12.75" customHeight="1">
      <c r="C58" s="156" t="s">
        <v>293</v>
      </c>
      <c r="E58" s="53">
        <f t="shared" ref="E58:Q58" si="171">E26/E54</f>
        <v>0.10746336476201294</v>
      </c>
      <c r="F58" s="53">
        <f t="shared" si="171"/>
        <v>0.10746336476201294</v>
      </c>
      <c r="G58" s="53">
        <f t="shared" si="171"/>
        <v>0.10746336476201294</v>
      </c>
      <c r="H58" s="53">
        <f t="shared" si="171"/>
        <v>0.10746336476201294</v>
      </c>
      <c r="I58" s="53">
        <f t="shared" si="171"/>
        <v>0.10746336476201294</v>
      </c>
      <c r="J58" s="53">
        <f t="shared" si="171"/>
        <v>0.10746336476201294</v>
      </c>
      <c r="K58" s="53">
        <f t="shared" si="171"/>
        <v>0.10746336476201294</v>
      </c>
      <c r="L58" s="53">
        <f t="shared" si="171"/>
        <v>0.10746336476201294</v>
      </c>
      <c r="M58" s="53">
        <f t="shared" si="171"/>
        <v>0.10746336476201294</v>
      </c>
      <c r="N58" s="53">
        <f t="shared" si="171"/>
        <v>0.10746336476201294</v>
      </c>
      <c r="O58" s="53">
        <f t="shared" si="171"/>
        <v>0.10746336476201294</v>
      </c>
      <c r="P58" s="53">
        <f t="shared" si="171"/>
        <v>0.10746336476201294</v>
      </c>
      <c r="Q58" s="53">
        <f t="shared" si="171"/>
        <v>0.10746336476201294</v>
      </c>
      <c r="R58" s="53">
        <f>R26/R54</f>
        <v>0.10746336476201294</v>
      </c>
      <c r="S58" s="53">
        <f t="shared" ref="S58:T58" si="172">S26/S54</f>
        <v>0.10395622895622895</v>
      </c>
      <c r="T58" s="53">
        <f t="shared" si="172"/>
        <v>9.6431127927190913E-2</v>
      </c>
      <c r="Y58" s="53">
        <f t="shared" ref="Y58:AX58" si="173">Y26/Y54</f>
        <v>7.9497907949790794E-2</v>
      </c>
      <c r="Z58" s="18">
        <f t="shared" si="173"/>
        <v>0.1148356401384083</v>
      </c>
      <c r="AA58" s="18">
        <f t="shared" si="173"/>
        <v>0.13768755516328332</v>
      </c>
      <c r="AB58" s="18">
        <f t="shared" si="173"/>
        <v>8.847954099350748E-2</v>
      </c>
      <c r="AC58" s="18">
        <f t="shared" si="173"/>
        <v>7.7961019490254871E-2</v>
      </c>
      <c r="AD58" s="53">
        <f t="shared" si="173"/>
        <v>7.7961019490254871E-2</v>
      </c>
      <c r="AE58" s="18">
        <f t="shared" si="173"/>
        <v>8.5899720030542123E-2</v>
      </c>
      <c r="AF58" s="18">
        <f t="shared" si="173"/>
        <v>7.912114299435706E-2</v>
      </c>
      <c r="AG58" s="18">
        <f t="shared" si="173"/>
        <v>7.1403651587393882E-2</v>
      </c>
      <c r="AH58" s="18">
        <f t="shared" si="173"/>
        <v>7.5647668393782383E-2</v>
      </c>
      <c r="AI58" s="53">
        <f t="shared" si="173"/>
        <v>7.5647668393782383E-2</v>
      </c>
      <c r="AJ58" s="18">
        <f t="shared" si="173"/>
        <v>8.0699394754539341E-2</v>
      </c>
      <c r="AK58" s="18">
        <f t="shared" si="173"/>
        <v>0.10371602884082086</v>
      </c>
      <c r="AL58" s="18">
        <f t="shared" si="173"/>
        <v>8.5664714812405118E-2</v>
      </c>
      <c r="AM58" s="18">
        <f t="shared" si="173"/>
        <v>7.4805250240102442E-2</v>
      </c>
      <c r="AN58" s="53">
        <f t="shared" si="173"/>
        <v>7.4805250240102442E-2</v>
      </c>
      <c r="AO58" s="18">
        <f t="shared" si="173"/>
        <v>0.12058698426201617</v>
      </c>
      <c r="AP58" s="18">
        <f t="shared" si="173"/>
        <v>0.10675965665236052</v>
      </c>
      <c r="AQ58" s="18">
        <f t="shared" si="173"/>
        <v>6.7877733057761347E-2</v>
      </c>
      <c r="AR58" s="18">
        <f t="shared" si="173"/>
        <v>7.0947065974140786E-2</v>
      </c>
      <c r="AS58" s="53">
        <f t="shared" si="173"/>
        <v>7.0947065974140786E-2</v>
      </c>
      <c r="AT58" s="18">
        <f t="shared" si="173"/>
        <v>9.8041448417217028E-2</v>
      </c>
      <c r="AU58" s="18">
        <f t="shared" si="173"/>
        <v>0.10424889714418388</v>
      </c>
      <c r="AV58" s="18">
        <f t="shared" si="173"/>
        <v>9.7463597933302018E-2</v>
      </c>
      <c r="AW58" s="18">
        <f t="shared" si="173"/>
        <v>0.10101128880526811</v>
      </c>
      <c r="AX58" s="53">
        <f t="shared" si="173"/>
        <v>0.10101128880526811</v>
      </c>
      <c r="AY58" s="168">
        <f>AX58</f>
        <v>0.10101128880526811</v>
      </c>
      <c r="AZ58" s="168">
        <f t="shared" si="166"/>
        <v>0.10101128880526811</v>
      </c>
      <c r="BA58" s="168">
        <f t="shared" si="166"/>
        <v>0.10101128880526811</v>
      </c>
      <c r="BB58" s="168">
        <f t="shared" ref="BB58" si="174">BA58</f>
        <v>0.10101128880526811</v>
      </c>
      <c r="BC58" s="53">
        <f t="shared" ref="BC58" si="175">BC26/BC54</f>
        <v>0.10101128880526811</v>
      </c>
      <c r="BD58" s="168">
        <f>AY58</f>
        <v>0.10101128880526811</v>
      </c>
      <c r="BE58" s="168">
        <f t="shared" ref="BE58:BE59" si="176">AZ58</f>
        <v>0.10101128880526811</v>
      </c>
      <c r="BF58" s="168">
        <f t="shared" ref="BF58:BF59" si="177">BA58</f>
        <v>0.10101128880526811</v>
      </c>
      <c r="BG58" s="168">
        <f t="shared" ref="BG58:BG59" si="178">BB58</f>
        <v>0.10101128880526811</v>
      </c>
      <c r="BH58" s="53">
        <f t="shared" ref="BH58" si="179">BH26/BH54</f>
        <v>0.10101128880526811</v>
      </c>
      <c r="BI58" s="216">
        <f>BH58</f>
        <v>0.10101128880526811</v>
      </c>
      <c r="BJ58" s="216">
        <f t="shared" si="170"/>
        <v>0.10101128880526811</v>
      </c>
      <c r="BK58" s="216">
        <f t="shared" si="170"/>
        <v>0.10101128880526811</v>
      </c>
      <c r="BL58" s="216">
        <f t="shared" si="170"/>
        <v>0.10101128880526811</v>
      </c>
    </row>
    <row r="59" spans="1:64" s="18" customFormat="1" ht="12.75" customHeight="1">
      <c r="C59" s="156" t="s">
        <v>294</v>
      </c>
      <c r="E59" s="53">
        <f t="shared" ref="E59:Q59" si="180">E27/E54</f>
        <v>0.10450982619561514</v>
      </c>
      <c r="F59" s="53">
        <f t="shared" si="180"/>
        <v>0.10450982619561514</v>
      </c>
      <c r="G59" s="53">
        <f t="shared" si="180"/>
        <v>0.10450982619561514</v>
      </c>
      <c r="H59" s="53">
        <f t="shared" si="180"/>
        <v>0.10450982619561514</v>
      </c>
      <c r="I59" s="53">
        <f t="shared" si="180"/>
        <v>0.10450982619561514</v>
      </c>
      <c r="J59" s="53">
        <f t="shared" si="180"/>
        <v>0.10450982619561514</v>
      </c>
      <c r="K59" s="53">
        <f t="shared" si="180"/>
        <v>0.10450982619561514</v>
      </c>
      <c r="L59" s="53">
        <f t="shared" si="180"/>
        <v>0.10450982619561514</v>
      </c>
      <c r="M59" s="53">
        <f t="shared" si="180"/>
        <v>0.10450982619561514</v>
      </c>
      <c r="N59" s="53">
        <f t="shared" si="180"/>
        <v>0.10450982619561514</v>
      </c>
      <c r="O59" s="53">
        <f t="shared" si="180"/>
        <v>0.10450982619561514</v>
      </c>
      <c r="P59" s="53">
        <f t="shared" si="180"/>
        <v>0.10450982619561514</v>
      </c>
      <c r="Q59" s="53">
        <f t="shared" si="180"/>
        <v>0.10450982619561514</v>
      </c>
      <c r="R59" s="53">
        <f>R27/R54</f>
        <v>0.10450982619561514</v>
      </c>
      <c r="S59" s="53">
        <f t="shared" ref="S59:T59" si="181">S27/S54</f>
        <v>0.13720538720538722</v>
      </c>
      <c r="T59" s="53">
        <f t="shared" si="181"/>
        <v>0.10553226301257797</v>
      </c>
      <c r="Y59" s="53">
        <f t="shared" ref="Y59:AX59" si="182">Y27/Y54</f>
        <v>0.14435146443514643</v>
      </c>
      <c r="Z59" s="18">
        <f t="shared" si="182"/>
        <v>0.1782006920415225</v>
      </c>
      <c r="AA59" s="18">
        <f t="shared" si="182"/>
        <v>0.16681376875551632</v>
      </c>
      <c r="AB59" s="18">
        <f t="shared" si="182"/>
        <v>0.13649403593537671</v>
      </c>
      <c r="AC59" s="18">
        <f t="shared" si="182"/>
        <v>0.11762300667847894</v>
      </c>
      <c r="AD59" s="53">
        <f t="shared" si="182"/>
        <v>0.11762300667847894</v>
      </c>
      <c r="AE59" s="18">
        <f t="shared" si="182"/>
        <v>0.11949605497582082</v>
      </c>
      <c r="AF59" s="18">
        <f t="shared" si="182"/>
        <v>0.12582542922319606</v>
      </c>
      <c r="AG59" s="18">
        <f t="shared" si="182"/>
        <v>0.11105942551459472</v>
      </c>
      <c r="AH59" s="18">
        <f t="shared" si="182"/>
        <v>0.10489349453080023</v>
      </c>
      <c r="AI59" s="53">
        <f t="shared" si="182"/>
        <v>0.10489349453080023</v>
      </c>
      <c r="AJ59" s="18">
        <f t="shared" si="182"/>
        <v>0.10378838825375476</v>
      </c>
      <c r="AK59" s="18">
        <f t="shared" si="182"/>
        <v>0.1077093732667776</v>
      </c>
      <c r="AL59" s="18">
        <f t="shared" si="182"/>
        <v>9.7158967685968337E-2</v>
      </c>
      <c r="AM59" s="18">
        <f t="shared" si="182"/>
        <v>9.1772489595560766E-2</v>
      </c>
      <c r="AN59" s="53">
        <f t="shared" si="182"/>
        <v>9.1772489595560766E-2</v>
      </c>
      <c r="AO59" s="18">
        <f t="shared" si="182"/>
        <v>9.3896214376860909E-2</v>
      </c>
      <c r="AP59" s="18">
        <f t="shared" si="182"/>
        <v>9.9892703862660942E-2</v>
      </c>
      <c r="AQ59" s="18">
        <f t="shared" si="182"/>
        <v>0.12792341999347329</v>
      </c>
      <c r="AR59" s="18">
        <f t="shared" si="182"/>
        <v>0.1297380926069179</v>
      </c>
      <c r="AS59" s="53">
        <f t="shared" si="182"/>
        <v>0.1297380926069179</v>
      </c>
      <c r="AT59" s="18">
        <f t="shared" si="182"/>
        <v>0.13561831017991346</v>
      </c>
      <c r="AU59" s="18">
        <f t="shared" si="182"/>
        <v>0.15509635477130254</v>
      </c>
      <c r="AV59" s="18">
        <f t="shared" si="182"/>
        <v>0.14760450915922968</v>
      </c>
      <c r="AW59" s="18">
        <f t="shared" si="182"/>
        <v>0.14475540921919097</v>
      </c>
      <c r="AX59" s="53">
        <f t="shared" si="182"/>
        <v>0.14475540921919097</v>
      </c>
      <c r="AY59" s="168">
        <f>AX59</f>
        <v>0.14475540921919097</v>
      </c>
      <c r="AZ59" s="168">
        <f t="shared" si="166"/>
        <v>0.14475540921919097</v>
      </c>
      <c r="BA59" s="168">
        <f t="shared" si="166"/>
        <v>0.14475540921919097</v>
      </c>
      <c r="BB59" s="168">
        <f t="shared" ref="BB59" si="183">BA59</f>
        <v>0.14475540921919097</v>
      </c>
      <c r="BC59" s="53">
        <f t="shared" ref="BC59" si="184">BC27/BC54</f>
        <v>0.14475540921919097</v>
      </c>
      <c r="BD59" s="168">
        <f>AY59</f>
        <v>0.14475540921919097</v>
      </c>
      <c r="BE59" s="168">
        <f t="shared" si="176"/>
        <v>0.14475540921919097</v>
      </c>
      <c r="BF59" s="168">
        <f t="shared" si="177"/>
        <v>0.14475540921919097</v>
      </c>
      <c r="BG59" s="168">
        <f t="shared" si="178"/>
        <v>0.14475540921919097</v>
      </c>
      <c r="BH59" s="53">
        <f t="shared" ref="BH59" si="185">BH27/BH54</f>
        <v>0.14475540921919097</v>
      </c>
      <c r="BI59" s="216">
        <f>BH59</f>
        <v>0.14475540921919097</v>
      </c>
      <c r="BJ59" s="216">
        <f t="shared" si="170"/>
        <v>0.14475540921919097</v>
      </c>
      <c r="BK59" s="216">
        <f t="shared" si="170"/>
        <v>0.14475540921919097</v>
      </c>
      <c r="BL59" s="216">
        <f t="shared" si="170"/>
        <v>0.14475540921919097</v>
      </c>
    </row>
    <row r="60" spans="1:64" s="38" customFormat="1" ht="12.75" customHeight="1">
      <c r="C60" s="84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Y60" s="50"/>
      <c r="AD60" s="50"/>
      <c r="AI60" s="50"/>
      <c r="AN60" s="50"/>
      <c r="AS60" s="50"/>
      <c r="AX60" s="50"/>
      <c r="BC60" s="50"/>
      <c r="BH60" s="50"/>
      <c r="BI60" s="50"/>
      <c r="BJ60" s="50"/>
      <c r="BK60" s="50"/>
      <c r="BL60" s="50"/>
    </row>
    <row r="61" spans="1:64" s="38" customFormat="1" ht="16.8" customHeight="1">
      <c r="C61" s="135" t="s">
        <v>296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Y61" s="50"/>
      <c r="AD61" s="50"/>
      <c r="AI61" s="50"/>
      <c r="AN61" s="50"/>
      <c r="AS61" s="50"/>
      <c r="AX61" s="50"/>
      <c r="BC61" s="50"/>
      <c r="BH61" s="50"/>
      <c r="BI61" s="50"/>
      <c r="BJ61" s="50"/>
      <c r="BK61" s="50"/>
      <c r="BL61" s="50"/>
    </row>
    <row r="62" spans="1:64" s="38" customFormat="1" ht="12.75" customHeight="1">
      <c r="C62" s="84" t="s">
        <v>288</v>
      </c>
      <c r="E62" s="50">
        <f t="shared" ref="E62:Q62" si="186">E282</f>
        <v>267</v>
      </c>
      <c r="F62" s="50">
        <f t="shared" si="186"/>
        <v>267</v>
      </c>
      <c r="G62" s="50">
        <f t="shared" si="186"/>
        <v>267</v>
      </c>
      <c r="H62" s="50">
        <f t="shared" si="186"/>
        <v>267</v>
      </c>
      <c r="I62" s="50">
        <f t="shared" si="186"/>
        <v>267</v>
      </c>
      <c r="J62" s="50">
        <f t="shared" si="186"/>
        <v>267</v>
      </c>
      <c r="K62" s="50">
        <f t="shared" si="186"/>
        <v>267</v>
      </c>
      <c r="L62" s="50">
        <f t="shared" si="186"/>
        <v>267</v>
      </c>
      <c r="M62" s="50">
        <f t="shared" si="186"/>
        <v>267</v>
      </c>
      <c r="N62" s="50">
        <f t="shared" si="186"/>
        <v>267</v>
      </c>
      <c r="O62" s="50">
        <f t="shared" si="186"/>
        <v>267</v>
      </c>
      <c r="P62" s="50">
        <f t="shared" si="186"/>
        <v>267</v>
      </c>
      <c r="Q62" s="50">
        <f t="shared" si="186"/>
        <v>267</v>
      </c>
      <c r="R62" s="50">
        <f t="shared" ref="R62:T62" si="187">R282</f>
        <v>267</v>
      </c>
      <c r="S62" s="50">
        <f t="shared" si="187"/>
        <v>431</v>
      </c>
      <c r="T62" s="50">
        <f t="shared" si="187"/>
        <v>657</v>
      </c>
      <c r="U62" s="84"/>
      <c r="V62" s="84"/>
      <c r="W62" s="84"/>
      <c r="X62" s="84"/>
      <c r="Y62" s="50">
        <f>Y282</f>
        <v>-1004</v>
      </c>
      <c r="Z62" s="84">
        <f>SUM(Z282,V282:X282)</f>
        <v>-759</v>
      </c>
      <c r="AA62" s="84">
        <f>SUM(Z282:AA282,W282:X282)</f>
        <v>471</v>
      </c>
      <c r="AB62" s="84">
        <f>SUM(Z282:AB282,X282)</f>
        <v>1361</v>
      </c>
      <c r="AC62" s="84">
        <f>SUM(Z282:AC282)</f>
        <v>2129</v>
      </c>
      <c r="AD62" s="50">
        <f>AC62</f>
        <v>2129</v>
      </c>
      <c r="AE62" s="84">
        <f>SUM(AE282,AA282:AC282)</f>
        <v>2742</v>
      </c>
      <c r="AF62" s="84">
        <f>SUM(AE282:AF282,AB282:AC282)</f>
        <v>2868</v>
      </c>
      <c r="AG62" s="84">
        <f>SUM(AE282:AG282,AC282)</f>
        <v>2623</v>
      </c>
      <c r="AH62" s="84">
        <f>SUM(AE282:AH282)</f>
        <v>2305</v>
      </c>
      <c r="AI62" s="50">
        <f>AH62</f>
        <v>2305</v>
      </c>
      <c r="AJ62" s="84">
        <f>SUM(AJ282,AF282:AH282)</f>
        <v>1928</v>
      </c>
      <c r="AK62" s="84">
        <f>SUM(AJ282:AK282,AG282:AH282)</f>
        <v>1511</v>
      </c>
      <c r="AL62" s="84">
        <f>SUM(AJ282:AL282,AH282)</f>
        <v>1252</v>
      </c>
      <c r="AM62" s="84">
        <f>SUM(AJ282:AM282)</f>
        <v>561</v>
      </c>
      <c r="AN62" s="50">
        <f>AM62</f>
        <v>561</v>
      </c>
      <c r="AO62" s="84">
        <f>SUM(AO282,AK282:AM282)</f>
        <v>-243</v>
      </c>
      <c r="AP62" s="84">
        <f>SUM(AO282:AP282,AL282:AM282)</f>
        <v>-1050</v>
      </c>
      <c r="AQ62" s="84">
        <f>SUM(AO282:AQ282,AM282)</f>
        <v>-1566</v>
      </c>
      <c r="AR62" s="84">
        <f>SUM(AO282:AR282)</f>
        <v>-1541</v>
      </c>
      <c r="AS62" s="50">
        <f>AR62</f>
        <v>-1541</v>
      </c>
      <c r="AT62" s="84">
        <f>SUM(AT282,AP282:AR282)</f>
        <v>-1299</v>
      </c>
      <c r="AU62" s="84">
        <f>SUM(AT282:AU282,AQ282:AR282)</f>
        <v>-838</v>
      </c>
      <c r="AV62" s="84">
        <f>SUM(AT282:AV282,AR282)</f>
        <v>-491</v>
      </c>
      <c r="AW62" s="84">
        <f>SUM(AT282:AW282)</f>
        <v>-339</v>
      </c>
      <c r="AX62" s="50">
        <f>AW62</f>
        <v>-339</v>
      </c>
      <c r="AY62" s="84">
        <f>SUM(AY282,AU282:AW282)</f>
        <v>-170.83203911999755</v>
      </c>
      <c r="AZ62" s="84">
        <f>SUM(AY282:AZ282,AV282:AW282)</f>
        <v>-93.306223313985583</v>
      </c>
      <c r="BA62" s="84">
        <f>SUM(AY282:BA282,AW282)</f>
        <v>-25.402164163978966</v>
      </c>
      <c r="BB62" s="84">
        <f>SUM(AY282:BB282)</f>
        <v>71.170039285052866</v>
      </c>
      <c r="BC62" s="50">
        <f>BB62</f>
        <v>71.170039285052866</v>
      </c>
      <c r="BD62" s="84">
        <f>SUM(BD282,AZ282:BB282)</f>
        <v>88.509559602653241</v>
      </c>
      <c r="BE62" s="84">
        <f>SUM(BD282:BE282,BA282:BB282)</f>
        <v>112.22388241877323</v>
      </c>
      <c r="BF62" s="84">
        <f>SUM(BD282:BF282,BB282)</f>
        <v>140.25340780177319</v>
      </c>
      <c r="BG62" s="84">
        <f>SUM(BD282:BG282)</f>
        <v>159.88912127075429</v>
      </c>
      <c r="BH62" s="50">
        <f>BH282</f>
        <v>159.889121270754</v>
      </c>
      <c r="BI62" s="50">
        <f>BI282</f>
        <v>301.72062760491508</v>
      </c>
      <c r="BJ62" s="50">
        <f>BJ282</f>
        <v>434.46001456951626</v>
      </c>
      <c r="BK62" s="50">
        <f>BK282</f>
        <v>575.08334393173868</v>
      </c>
      <c r="BL62" s="50">
        <f>BL282</f>
        <v>717.16770211305356</v>
      </c>
    </row>
    <row r="63" spans="1:64" s="38" customFormat="1" ht="12.75" customHeight="1">
      <c r="C63" s="84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84"/>
      <c r="V63" s="84"/>
      <c r="W63" s="84"/>
      <c r="X63" s="84"/>
      <c r="Y63" s="50"/>
      <c r="Z63" s="84"/>
      <c r="AA63" s="84"/>
      <c r="AB63" s="84"/>
      <c r="AC63" s="84"/>
      <c r="AD63" s="50"/>
      <c r="AE63" s="84"/>
      <c r="AF63" s="84"/>
      <c r="AG63" s="84"/>
      <c r="AH63" s="84"/>
      <c r="AI63" s="50"/>
      <c r="AJ63" s="84"/>
      <c r="AK63" s="84"/>
      <c r="AL63" s="84"/>
      <c r="AM63" s="84"/>
      <c r="AN63" s="50"/>
      <c r="AO63" s="84"/>
      <c r="AP63" s="84"/>
      <c r="AQ63" s="84"/>
      <c r="AR63" s="84"/>
      <c r="AS63" s="50"/>
      <c r="AT63" s="84"/>
      <c r="AU63" s="84"/>
      <c r="AV63" s="84"/>
      <c r="AW63" s="84"/>
      <c r="AX63" s="50"/>
      <c r="AY63" s="84"/>
      <c r="AZ63" s="84"/>
      <c r="BA63" s="84"/>
      <c r="BB63" s="84"/>
      <c r="BC63" s="50"/>
      <c r="BD63" s="84"/>
      <c r="BE63" s="84"/>
      <c r="BF63" s="84"/>
      <c r="BG63" s="84"/>
      <c r="BH63" s="50"/>
      <c r="BI63" s="50"/>
      <c r="BJ63" s="50"/>
      <c r="BK63" s="50"/>
      <c r="BL63" s="50"/>
    </row>
    <row r="64" spans="1:64" s="38" customFormat="1" ht="12.75" customHeight="1">
      <c r="A64" s="41"/>
      <c r="B64" s="41"/>
      <c r="C64" s="84" t="s">
        <v>298</v>
      </c>
      <c r="E64" s="48">
        <v>688</v>
      </c>
      <c r="F64" s="48">
        <v>688</v>
      </c>
      <c r="G64" s="48">
        <v>688</v>
      </c>
      <c r="H64" s="48">
        <v>688</v>
      </c>
      <c r="I64" s="48">
        <v>688</v>
      </c>
      <c r="J64" s="48">
        <v>688</v>
      </c>
      <c r="K64" s="48">
        <v>688</v>
      </c>
      <c r="L64" s="48">
        <v>688</v>
      </c>
      <c r="M64" s="48">
        <v>688</v>
      </c>
      <c r="N64" s="48">
        <v>688</v>
      </c>
      <c r="O64" s="48">
        <v>688</v>
      </c>
      <c r="P64" s="48">
        <v>688</v>
      </c>
      <c r="Q64" s="48">
        <v>688</v>
      </c>
      <c r="R64" s="48">
        <v>688</v>
      </c>
      <c r="S64" s="48">
        <f>674</f>
        <v>674</v>
      </c>
      <c r="T64" s="48">
        <v>660</v>
      </c>
      <c r="U64" s="39"/>
      <c r="V64" s="39"/>
      <c r="W64" s="39"/>
      <c r="X64" s="39"/>
      <c r="Y64" s="48">
        <v>250</v>
      </c>
      <c r="Z64" s="39">
        <v>750</v>
      </c>
      <c r="AA64" s="39">
        <f>1300+245</f>
        <v>1545</v>
      </c>
      <c r="AB64" s="39">
        <f>1297+245</f>
        <v>1542</v>
      </c>
      <c r="AC64" s="39">
        <f>1294+245</f>
        <v>1539</v>
      </c>
      <c r="AD64" s="83">
        <f>AC64</f>
        <v>1539</v>
      </c>
      <c r="AE64" s="39">
        <f>1290+245</f>
        <v>1535</v>
      </c>
      <c r="AF64" s="39">
        <f>1287+245</f>
        <v>1532</v>
      </c>
      <c r="AG64" s="39">
        <f>1284+245</f>
        <v>1529</v>
      </c>
      <c r="AH64" s="39">
        <f>1281+245</f>
        <v>1526</v>
      </c>
      <c r="AI64" s="83">
        <f>AH64</f>
        <v>1526</v>
      </c>
      <c r="AJ64" s="39">
        <f>1277+245</f>
        <v>1522</v>
      </c>
      <c r="AK64" s="39">
        <f>1274+245+500</f>
        <v>2019</v>
      </c>
      <c r="AL64" s="39">
        <f>1271+245+150</f>
        <v>1666</v>
      </c>
      <c r="AM64" s="39">
        <f>1268+500+245</f>
        <v>2013</v>
      </c>
      <c r="AN64" s="83">
        <f>AM64</f>
        <v>2013</v>
      </c>
      <c r="AO64" s="39">
        <f>450+1264+499+245</f>
        <v>2458</v>
      </c>
      <c r="AP64" s="39">
        <f>160+1261+498+245+750</f>
        <v>2914</v>
      </c>
      <c r="AQ64" s="39">
        <f>250+1258+496+245+750</f>
        <v>2999</v>
      </c>
      <c r="AR64" s="39">
        <f>175+1255+495+245+1250</f>
        <v>3420</v>
      </c>
      <c r="AS64" s="83">
        <f>AR64</f>
        <v>3420</v>
      </c>
      <c r="AT64" s="39">
        <f>800+1251+494+245+1250</f>
        <v>4040</v>
      </c>
      <c r="AU64" s="39">
        <f>375+1248+493+245+1250</f>
        <v>3611</v>
      </c>
      <c r="AV64" s="39">
        <f>210+1245+491+245+1250</f>
        <v>3441</v>
      </c>
      <c r="AW64" s="39">
        <f>395+346+1242+490+245+1250</f>
        <v>3968</v>
      </c>
      <c r="AX64" s="83">
        <f>AW64</f>
        <v>3968</v>
      </c>
      <c r="AY64" s="82">
        <f ca="1">SUM(AY291:AY295)</f>
        <v>3503.8237739636124</v>
      </c>
      <c r="AZ64" s="82">
        <f t="shared" ref="AZ64:BB64" ca="1" si="188">SUM(AZ291:AZ295)</f>
        <v>3092.8907045314672</v>
      </c>
      <c r="BA64" s="82">
        <f t="shared" ca="1" si="188"/>
        <v>2442.3914924835058</v>
      </c>
      <c r="BB64" s="82">
        <f t="shared" ca="1" si="188"/>
        <v>2340.5977209437319</v>
      </c>
      <c r="BC64" s="83">
        <f ca="1">BB64</f>
        <v>2340.5977209437319</v>
      </c>
      <c r="BD64" s="82">
        <f ca="1">SUM(BD291:BD295)</f>
        <v>2081.2293655167332</v>
      </c>
      <c r="BE64" s="82">
        <f t="shared" ref="BE64:BG64" ca="1" si="189">SUM(BE291:BE295)</f>
        <v>1605.236966408117</v>
      </c>
      <c r="BF64" s="82">
        <f t="shared" ca="1" si="189"/>
        <v>883.03748622787953</v>
      </c>
      <c r="BG64" s="82">
        <f t="shared" ca="1" si="189"/>
        <v>515.72358058807367</v>
      </c>
      <c r="BH64" s="83">
        <f ca="1">BG64</f>
        <v>515.72358058807367</v>
      </c>
      <c r="BI64" s="83">
        <f t="shared" ref="BI64:BL64" ca="1" si="190">SUM(BI291:BI295)</f>
        <v>-1662.2509110635883</v>
      </c>
      <c r="BJ64" s="83">
        <f t="shared" ca="1" si="190"/>
        <v>-4206.6444808524411</v>
      </c>
      <c r="BK64" s="83">
        <f t="shared" ca="1" si="190"/>
        <v>-7160.2911491024333</v>
      </c>
      <c r="BL64" s="83">
        <f t="shared" ca="1" si="190"/>
        <v>-10560.306196339674</v>
      </c>
    </row>
    <row r="65" spans="1:64" s="38" customFormat="1" ht="12.75" customHeight="1">
      <c r="A65" s="41"/>
      <c r="B65" s="41"/>
      <c r="C65" s="84" t="s">
        <v>299</v>
      </c>
      <c r="E65" s="48">
        <v>1250</v>
      </c>
      <c r="F65" s="48">
        <v>1250</v>
      </c>
      <c r="G65" s="48">
        <v>1250</v>
      </c>
      <c r="H65" s="48">
        <v>1250</v>
      </c>
      <c r="I65" s="48">
        <v>1250</v>
      </c>
      <c r="J65" s="48">
        <v>1250</v>
      </c>
      <c r="K65" s="48">
        <v>1250</v>
      </c>
      <c r="L65" s="48">
        <v>1250</v>
      </c>
      <c r="M65" s="48">
        <v>1250</v>
      </c>
      <c r="N65" s="48">
        <v>1250</v>
      </c>
      <c r="O65" s="48">
        <v>1250</v>
      </c>
      <c r="P65" s="48">
        <v>1250</v>
      </c>
      <c r="Q65" s="48">
        <v>1250</v>
      </c>
      <c r="R65" s="48">
        <v>1250</v>
      </c>
      <c r="S65" s="48">
        <v>1250</v>
      </c>
      <c r="T65" s="48">
        <v>350</v>
      </c>
      <c r="U65" s="39"/>
      <c r="V65" s="39"/>
      <c r="W65" s="39"/>
      <c r="X65" s="39"/>
      <c r="Y65" s="48">
        <v>0</v>
      </c>
      <c r="Z65" s="39">
        <v>0</v>
      </c>
      <c r="AA65" s="39">
        <v>0</v>
      </c>
      <c r="AB65" s="39">
        <v>0</v>
      </c>
      <c r="AC65" s="39">
        <v>0</v>
      </c>
      <c r="AD65" s="83">
        <f t="shared" ref="AD65:AD67" si="191">AC65</f>
        <v>0</v>
      </c>
      <c r="AE65" s="39">
        <v>0</v>
      </c>
      <c r="AF65" s="39">
        <v>0</v>
      </c>
      <c r="AG65" s="39">
        <v>0</v>
      </c>
      <c r="AH65" s="39">
        <v>0</v>
      </c>
      <c r="AI65" s="83">
        <f t="shared" ref="AI65:AI67" si="192">AH65</f>
        <v>0</v>
      </c>
      <c r="AJ65" s="39">
        <v>0</v>
      </c>
      <c r="AK65" s="39">
        <v>0</v>
      </c>
      <c r="AL65" s="39">
        <v>0</v>
      </c>
      <c r="AM65" s="39">
        <v>0</v>
      </c>
      <c r="AN65" s="83">
        <f t="shared" ref="AN65:AN67" si="193">AM65</f>
        <v>0</v>
      </c>
      <c r="AO65" s="39">
        <v>0</v>
      </c>
      <c r="AP65" s="39">
        <v>0</v>
      </c>
      <c r="AQ65" s="39">
        <v>250</v>
      </c>
      <c r="AR65" s="39">
        <v>250</v>
      </c>
      <c r="AS65" s="83">
        <f t="shared" ref="AS65:AS67" si="194">AR65</f>
        <v>250</v>
      </c>
      <c r="AT65" s="39">
        <v>261</v>
      </c>
      <c r="AU65" s="39">
        <v>261</v>
      </c>
      <c r="AV65" s="39">
        <v>271</v>
      </c>
      <c r="AW65" s="39">
        <v>271</v>
      </c>
      <c r="AX65" s="83">
        <f t="shared" ref="AX65:AX67" si="195">AW65</f>
        <v>271</v>
      </c>
      <c r="AY65" s="82">
        <f>AY296</f>
        <v>281.83999999999997</v>
      </c>
      <c r="AZ65" s="82">
        <f t="shared" ref="AZ65:BB65" si="196">AZ296</f>
        <v>281.83999999999997</v>
      </c>
      <c r="BA65" s="82">
        <f t="shared" si="196"/>
        <v>293.11359999999996</v>
      </c>
      <c r="BB65" s="82">
        <f t="shared" si="196"/>
        <v>293.11359999999996</v>
      </c>
      <c r="BC65" s="83">
        <f t="shared" ref="BC65:BC67" si="197">BB65</f>
        <v>293.11359999999996</v>
      </c>
      <c r="BD65" s="82">
        <f>BD296</f>
        <v>304.83814399999994</v>
      </c>
      <c r="BE65" s="82">
        <f t="shared" ref="BE65:BG65" si="198">BE296</f>
        <v>304.83814399999994</v>
      </c>
      <c r="BF65" s="82">
        <f t="shared" si="198"/>
        <v>317.03166975999994</v>
      </c>
      <c r="BG65" s="82">
        <f t="shared" si="198"/>
        <v>317.03166975999994</v>
      </c>
      <c r="BH65" s="83">
        <f t="shared" ref="BH65:BH67" si="199">BG65</f>
        <v>317.03166975999994</v>
      </c>
      <c r="BI65" s="83">
        <f t="shared" ref="BI65:BL65" si="200">BI296</f>
        <v>342.39420334079995</v>
      </c>
      <c r="BJ65" s="83">
        <f t="shared" si="200"/>
        <v>369.78573960806392</v>
      </c>
      <c r="BK65" s="83">
        <f t="shared" si="200"/>
        <v>399.36859877670906</v>
      </c>
      <c r="BL65" s="83">
        <f t="shared" si="200"/>
        <v>431.31808667884582</v>
      </c>
    </row>
    <row r="66" spans="1:64" s="38" customFormat="1" ht="12.75" customHeight="1">
      <c r="A66" s="41"/>
      <c r="B66" s="41"/>
      <c r="C66" s="84" t="s">
        <v>300</v>
      </c>
      <c r="E66" s="69">
        <f t="shared" ref="E66:Q66" si="201">2500+27+11</f>
        <v>2538</v>
      </c>
      <c r="F66" s="69">
        <f t="shared" si="201"/>
        <v>2538</v>
      </c>
      <c r="G66" s="69">
        <f t="shared" si="201"/>
        <v>2538</v>
      </c>
      <c r="H66" s="69">
        <f t="shared" si="201"/>
        <v>2538</v>
      </c>
      <c r="I66" s="69">
        <f t="shared" si="201"/>
        <v>2538</v>
      </c>
      <c r="J66" s="69">
        <f t="shared" si="201"/>
        <v>2538</v>
      </c>
      <c r="K66" s="69">
        <f t="shared" si="201"/>
        <v>2538</v>
      </c>
      <c r="L66" s="69">
        <f t="shared" si="201"/>
        <v>2538</v>
      </c>
      <c r="M66" s="69">
        <f t="shared" si="201"/>
        <v>2538</v>
      </c>
      <c r="N66" s="69">
        <f t="shared" si="201"/>
        <v>2538</v>
      </c>
      <c r="O66" s="69">
        <f t="shared" si="201"/>
        <v>2538</v>
      </c>
      <c r="P66" s="69">
        <f t="shared" si="201"/>
        <v>2538</v>
      </c>
      <c r="Q66" s="69">
        <f t="shared" si="201"/>
        <v>2538</v>
      </c>
      <c r="R66" s="69">
        <f>2500+27+11</f>
        <v>2538</v>
      </c>
      <c r="S66" s="69">
        <f>2500+27+4</f>
        <v>2531</v>
      </c>
      <c r="T66" s="69">
        <f>2700+27+18</f>
        <v>2745</v>
      </c>
      <c r="U66" s="70"/>
      <c r="V66" s="70"/>
      <c r="W66" s="70"/>
      <c r="X66" s="70"/>
      <c r="Y66" s="69">
        <v>18</v>
      </c>
      <c r="Z66" s="70">
        <v>16</v>
      </c>
      <c r="AA66" s="70">
        <v>15</v>
      </c>
      <c r="AB66" s="70">
        <v>14</v>
      </c>
      <c r="AC66" s="70">
        <f>1516</f>
        <v>1516</v>
      </c>
      <c r="AD66" s="219">
        <f t="shared" si="191"/>
        <v>1516</v>
      </c>
      <c r="AE66" s="70">
        <f>1500+15</f>
        <v>1515</v>
      </c>
      <c r="AF66" s="70">
        <v>1513</v>
      </c>
      <c r="AG66" s="70">
        <v>1512</v>
      </c>
      <c r="AH66" s="70">
        <v>1509</v>
      </c>
      <c r="AI66" s="219">
        <f t="shared" si="192"/>
        <v>1509</v>
      </c>
      <c r="AJ66" s="70">
        <v>1508</v>
      </c>
      <c r="AK66" s="70">
        <v>1504</v>
      </c>
      <c r="AL66" s="70">
        <v>1504</v>
      </c>
      <c r="AM66" s="70">
        <v>1502</v>
      </c>
      <c r="AN66" s="219">
        <f t="shared" si="193"/>
        <v>1502</v>
      </c>
      <c r="AO66" s="70">
        <v>1502</v>
      </c>
      <c r="AP66" s="70">
        <v>1521</v>
      </c>
      <c r="AQ66" s="70">
        <v>1502</v>
      </c>
      <c r="AR66" s="70">
        <v>1500</v>
      </c>
      <c r="AS66" s="219">
        <f t="shared" si="194"/>
        <v>1500</v>
      </c>
      <c r="AT66" s="70">
        <v>1500</v>
      </c>
      <c r="AU66" s="70">
        <v>1506</v>
      </c>
      <c r="AV66" s="70">
        <f>425+500+1000+6</f>
        <v>1931</v>
      </c>
      <c r="AW66" s="70">
        <f>425+200+1000+6</f>
        <v>1631</v>
      </c>
      <c r="AX66" s="219">
        <f t="shared" si="195"/>
        <v>1631</v>
      </c>
      <c r="AY66" s="155">
        <f>SUM(AY297:AY301)</f>
        <v>1631</v>
      </c>
      <c r="AZ66" s="155">
        <f t="shared" ref="AZ66:BB66" si="202">SUM(AZ297:AZ301)</f>
        <v>1631</v>
      </c>
      <c r="BA66" s="155">
        <f t="shared" si="202"/>
        <v>1631</v>
      </c>
      <c r="BB66" s="155">
        <f t="shared" si="202"/>
        <v>1431</v>
      </c>
      <c r="BC66" s="219">
        <f t="shared" si="197"/>
        <v>1431</v>
      </c>
      <c r="BD66" s="155">
        <f>SUM(BD297:BD301)</f>
        <v>1431</v>
      </c>
      <c r="BE66" s="155">
        <f t="shared" ref="BE66:BG66" si="203">SUM(BE297:BE301)</f>
        <v>1431</v>
      </c>
      <c r="BF66" s="155">
        <f t="shared" si="203"/>
        <v>1431</v>
      </c>
      <c r="BG66" s="155">
        <f t="shared" si="203"/>
        <v>1431</v>
      </c>
      <c r="BH66" s="219">
        <f t="shared" si="199"/>
        <v>1431</v>
      </c>
      <c r="BI66" s="219">
        <f t="shared" ref="BI66:BL66" si="204">SUM(BI297:BI301)</f>
        <v>1431</v>
      </c>
      <c r="BJ66" s="219">
        <f t="shared" si="204"/>
        <v>1431</v>
      </c>
      <c r="BK66" s="219">
        <f t="shared" si="204"/>
        <v>1431</v>
      </c>
      <c r="BL66" s="219">
        <f t="shared" si="204"/>
        <v>1431</v>
      </c>
    </row>
    <row r="67" spans="1:64" s="38" customFormat="1" ht="12.75" customHeight="1">
      <c r="C67" s="84" t="s">
        <v>73</v>
      </c>
      <c r="E67" s="50">
        <f t="shared" ref="E67:Q67" si="205">SUM(E64:E66)</f>
        <v>4476</v>
      </c>
      <c r="F67" s="50">
        <f t="shared" si="205"/>
        <v>4476</v>
      </c>
      <c r="G67" s="50">
        <f t="shared" si="205"/>
        <v>4476</v>
      </c>
      <c r="H67" s="50">
        <f t="shared" si="205"/>
        <v>4476</v>
      </c>
      <c r="I67" s="50">
        <f t="shared" si="205"/>
        <v>4476</v>
      </c>
      <c r="J67" s="50">
        <f t="shared" si="205"/>
        <v>4476</v>
      </c>
      <c r="K67" s="50">
        <f t="shared" si="205"/>
        <v>4476</v>
      </c>
      <c r="L67" s="50">
        <f t="shared" si="205"/>
        <v>4476</v>
      </c>
      <c r="M67" s="50">
        <f t="shared" si="205"/>
        <v>4476</v>
      </c>
      <c r="N67" s="50">
        <f t="shared" si="205"/>
        <v>4476</v>
      </c>
      <c r="O67" s="50">
        <f t="shared" si="205"/>
        <v>4476</v>
      </c>
      <c r="P67" s="50">
        <f t="shared" si="205"/>
        <v>4476</v>
      </c>
      <c r="Q67" s="50">
        <f t="shared" si="205"/>
        <v>4476</v>
      </c>
      <c r="R67" s="50">
        <f>SUM(R64:R66)</f>
        <v>4476</v>
      </c>
      <c r="S67" s="50">
        <f>SUM(S64:S66)</f>
        <v>4455</v>
      </c>
      <c r="T67" s="50">
        <f>SUM(T64:T66)</f>
        <v>3755</v>
      </c>
      <c r="U67" s="84"/>
      <c r="V67" s="84"/>
      <c r="W67" s="84"/>
      <c r="X67" s="84"/>
      <c r="Y67" s="50">
        <f>SUM(Y64:Y66)</f>
        <v>268</v>
      </c>
      <c r="Z67" s="55">
        <f t="shared" ref="Z67:AC67" si="206">SUM(Z64:Z66)</f>
        <v>766</v>
      </c>
      <c r="AA67" s="55">
        <f t="shared" si="206"/>
        <v>1560</v>
      </c>
      <c r="AB67" s="55">
        <f t="shared" si="206"/>
        <v>1556</v>
      </c>
      <c r="AC67" s="55">
        <f t="shared" si="206"/>
        <v>3055</v>
      </c>
      <c r="AD67" s="83">
        <f t="shared" si="191"/>
        <v>3055</v>
      </c>
      <c r="AE67" s="55">
        <f t="shared" ref="AE67" si="207">SUM(AE64:AE66)</f>
        <v>3050</v>
      </c>
      <c r="AF67" s="55">
        <f t="shared" ref="AF67" si="208">SUM(AF64:AF66)</f>
        <v>3045</v>
      </c>
      <c r="AG67" s="55">
        <f t="shared" ref="AG67" si="209">SUM(AG64:AG66)</f>
        <v>3041</v>
      </c>
      <c r="AH67" s="55">
        <f t="shared" ref="AH67" si="210">SUM(AH64:AH66)</f>
        <v>3035</v>
      </c>
      <c r="AI67" s="83">
        <f t="shared" si="192"/>
        <v>3035</v>
      </c>
      <c r="AJ67" s="55">
        <f t="shared" ref="AJ67" si="211">SUM(AJ64:AJ66)</f>
        <v>3030</v>
      </c>
      <c r="AK67" s="55">
        <f t="shared" ref="AK67" si="212">SUM(AK64:AK66)</f>
        <v>3523</v>
      </c>
      <c r="AL67" s="55">
        <f t="shared" ref="AL67" si="213">SUM(AL64:AL66)</f>
        <v>3170</v>
      </c>
      <c r="AM67" s="55">
        <f t="shared" ref="AM67" si="214">SUM(AM64:AM66)</f>
        <v>3515</v>
      </c>
      <c r="AN67" s="83">
        <f t="shared" si="193"/>
        <v>3515</v>
      </c>
      <c r="AO67" s="55">
        <f t="shared" ref="AO67" si="215">SUM(AO64:AO66)</f>
        <v>3960</v>
      </c>
      <c r="AP67" s="55">
        <f t="shared" ref="AP67" si="216">SUM(AP64:AP66)</f>
        <v>4435</v>
      </c>
      <c r="AQ67" s="55">
        <f t="shared" ref="AQ67" si="217">SUM(AQ64:AQ66)</f>
        <v>4751</v>
      </c>
      <c r="AR67" s="55">
        <f t="shared" ref="AR67" si="218">SUM(AR64:AR66)</f>
        <v>5170</v>
      </c>
      <c r="AS67" s="83">
        <f t="shared" si="194"/>
        <v>5170</v>
      </c>
      <c r="AT67" s="55">
        <f t="shared" ref="AT67" si="219">SUM(AT64:AT66)</f>
        <v>5801</v>
      </c>
      <c r="AU67" s="55">
        <f t="shared" ref="AU67" si="220">SUM(AU64:AU66)</f>
        <v>5378</v>
      </c>
      <c r="AV67" s="55">
        <f t="shared" ref="AV67" si="221">SUM(AV64:AV66)</f>
        <v>5643</v>
      </c>
      <c r="AW67" s="55">
        <f t="shared" ref="AW67" si="222">SUM(AW64:AW66)</f>
        <v>5870</v>
      </c>
      <c r="AX67" s="83">
        <f t="shared" si="195"/>
        <v>5870</v>
      </c>
      <c r="AY67" s="84">
        <f ca="1">SUM(AY64:AY66)</f>
        <v>5416.6637739636126</v>
      </c>
      <c r="AZ67" s="84">
        <f t="shared" ref="AZ67:BB67" ca="1" si="223">SUM(AZ64:AZ66)</f>
        <v>5005.7307045314674</v>
      </c>
      <c r="BA67" s="84">
        <f t="shared" ca="1" si="223"/>
        <v>4366.5050924835059</v>
      </c>
      <c r="BB67" s="84">
        <f t="shared" ca="1" si="223"/>
        <v>4064.7113209437321</v>
      </c>
      <c r="BC67" s="83">
        <f t="shared" ca="1" si="197"/>
        <v>4064.7113209437321</v>
      </c>
      <c r="BD67" s="84">
        <f ca="1">SUM(BD64:BD66)</f>
        <v>3817.067509516733</v>
      </c>
      <c r="BE67" s="84">
        <f t="shared" ref="BE67" ca="1" si="224">SUM(BE64:BE66)</f>
        <v>3341.0751104081169</v>
      </c>
      <c r="BF67" s="84">
        <f t="shared" ref="BF67" ca="1" si="225">SUM(BF64:BF66)</f>
        <v>2631.0691559878796</v>
      </c>
      <c r="BG67" s="84">
        <f t="shared" ref="BG67" ca="1" si="226">SUM(BG64:BG66)</f>
        <v>2263.7552503480738</v>
      </c>
      <c r="BH67" s="83">
        <f t="shared" ca="1" si="199"/>
        <v>2263.7552503480738</v>
      </c>
      <c r="BI67" s="98">
        <f t="shared" ref="BI67" ca="1" si="227">SUM(BI64:BI66)</f>
        <v>111.14329227721169</v>
      </c>
      <c r="BJ67" s="98">
        <f t="shared" ref="BJ67" ca="1" si="228">SUM(BJ64:BJ66)</f>
        <v>-2405.8587412443771</v>
      </c>
      <c r="BK67" s="98">
        <f t="shared" ref="BK67" ca="1" si="229">SUM(BK64:BK66)</f>
        <v>-5329.9225503257239</v>
      </c>
      <c r="BL67" s="98">
        <f t="shared" ref="BL67" ca="1" si="230">SUM(BL64:BL66)</f>
        <v>-8697.9881096608278</v>
      </c>
    </row>
    <row r="68" spans="1:64" s="38" customFormat="1" ht="12.75" customHeight="1">
      <c r="C68" s="84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84"/>
      <c r="V68" s="84"/>
      <c r="W68" s="84"/>
      <c r="X68" s="84"/>
      <c r="Y68" s="50"/>
      <c r="Z68" s="84"/>
      <c r="AA68" s="84"/>
      <c r="AB68" s="84"/>
      <c r="AC68" s="84"/>
      <c r="AD68" s="50"/>
      <c r="AE68" s="84"/>
      <c r="AF68" s="84"/>
      <c r="AG68" s="84"/>
      <c r="AH68" s="84"/>
      <c r="AI68" s="50"/>
      <c r="AJ68" s="84"/>
      <c r="AK68" s="84"/>
      <c r="AL68" s="84"/>
      <c r="AM68" s="84"/>
      <c r="AN68" s="50"/>
      <c r="AO68" s="84"/>
      <c r="AP68" s="84"/>
      <c r="AQ68" s="84"/>
      <c r="AR68" s="84"/>
      <c r="AS68" s="50"/>
      <c r="AT68" s="84"/>
      <c r="AU68" s="84"/>
      <c r="AV68" s="84"/>
      <c r="AW68" s="84"/>
      <c r="AX68" s="50"/>
      <c r="AY68" s="84"/>
      <c r="AZ68" s="84"/>
      <c r="BA68" s="84"/>
      <c r="BB68" s="84"/>
      <c r="BC68" s="50"/>
      <c r="BD68" s="84"/>
      <c r="BE68" s="84"/>
      <c r="BF68" s="84"/>
      <c r="BG68" s="84"/>
      <c r="BH68" s="50"/>
      <c r="BI68" s="50"/>
      <c r="BJ68" s="50"/>
      <c r="BK68" s="50"/>
      <c r="BL68" s="50"/>
    </row>
    <row r="69" spans="1:64" s="120" customFormat="1" ht="12.75" customHeight="1">
      <c r="C69" s="121" t="s">
        <v>80</v>
      </c>
      <c r="E69" s="122">
        <f>(SUM(E$64:E64)-E$7)/E$62</f>
        <v>-1.4382022471910112</v>
      </c>
      <c r="F69" s="122">
        <f>(SUM(F$64:F64)-F$7)/F$62</f>
        <v>-1.4382022471910112</v>
      </c>
      <c r="G69" s="122">
        <f>(SUM(G$64:G64)-G$7)/G$62</f>
        <v>-1.4382022471910112</v>
      </c>
      <c r="H69" s="122">
        <f>(SUM(H$64:H64)-H$7)/H$62</f>
        <v>-1.4382022471910112</v>
      </c>
      <c r="I69" s="122">
        <f>(SUM(I$64:I64)-I$7)/I$62</f>
        <v>-1.4382022471910112</v>
      </c>
      <c r="J69" s="122">
        <f>(SUM(J$64:J64)-J$7)/J$62</f>
        <v>-1.4382022471910112</v>
      </c>
      <c r="K69" s="122">
        <f>(SUM(K$64:K64)-K$7)/K$62</f>
        <v>-1.4382022471910112</v>
      </c>
      <c r="L69" s="122">
        <f>(SUM(L$64:L64)-L$7)/L$62</f>
        <v>-1.4382022471910112</v>
      </c>
      <c r="M69" s="122">
        <f>(SUM(M$64:M64)-M$7)/M$62</f>
        <v>-1.4382022471910112</v>
      </c>
      <c r="N69" s="122">
        <f>(SUM(N$64:N64)-N$7)/N$62</f>
        <v>-1.4382022471910112</v>
      </c>
      <c r="O69" s="122">
        <f>(SUM(O$64:O64)-O$7)/O$62</f>
        <v>-1.4382022471910112</v>
      </c>
      <c r="P69" s="122">
        <f>(SUM(P$64:P64)-P$7)/P$62</f>
        <v>-1.4382022471910112</v>
      </c>
      <c r="Q69" s="122">
        <f>(SUM(Q$64:Q64)-Q$7)/Q$62</f>
        <v>-1.4382022471910112</v>
      </c>
      <c r="R69" s="122">
        <f>(SUM(R$64:R64)-R$7)/R$62</f>
        <v>-1.4382022471910112</v>
      </c>
      <c r="S69" s="122">
        <f>(SUM(S$64:S64)-S$7)/S$62</f>
        <v>-1.0510440835266821</v>
      </c>
      <c r="T69" s="122">
        <f>(SUM(T$64:T64)-T$7)/T$62</f>
        <v>-0.31202435312024351</v>
      </c>
      <c r="Y69" s="122">
        <f>(SUM(Y$64:Y64)-Y$7)/Y$62</f>
        <v>0.84262948207171318</v>
      </c>
      <c r="Z69" s="120">
        <f>(SUM(Z$64:Z64)-Z$7)/Z$62</f>
        <v>0.44400527009222662</v>
      </c>
      <c r="AA69" s="120">
        <f>(SUM(AA$64:AA64)-AA$7)/AA$62</f>
        <v>-0.58386411889596601</v>
      </c>
      <c r="AB69" s="120">
        <f>(SUM(AB$64:AB64)-AB$7)/AB$62</f>
        <v>-0.85304922850844966</v>
      </c>
      <c r="AC69" s="120">
        <f>(SUM(AC$64:AC64)-AC$7)/AC$62</f>
        <v>-0.33771723813997184</v>
      </c>
      <c r="AD69" s="122">
        <f>(SUM(AD$64:AD64)-AD$7)/AD$62</f>
        <v>-0.33771723813997184</v>
      </c>
      <c r="AE69" s="120">
        <f>(SUM(AE$64:AE64)-AE$7)/AE$62</f>
        <v>5.1057622173595919E-3</v>
      </c>
      <c r="AF69" s="120">
        <f>(SUM(AF$64:AF64)-AF$7)/AF$62</f>
        <v>0.1711994421199442</v>
      </c>
      <c r="AG69" s="120">
        <f>(SUM(AG$64:AG64)-AG$7)/AG$62</f>
        <v>0.19939001143728555</v>
      </c>
      <c r="AH69" s="120">
        <f>(SUM(AH$64:AH64)-AH$7)/AH$62</f>
        <v>0.2529284164859002</v>
      </c>
      <c r="AI69" s="122">
        <f>(SUM(AI$64:AI64)-AI$7)/AI$62</f>
        <v>0.2529284164859002</v>
      </c>
      <c r="AJ69" s="120">
        <f>(SUM(AJ$64:AJ64)-AJ$7)/AJ$62</f>
        <v>0.41182572614107882</v>
      </c>
      <c r="AK69" s="120">
        <f>(SUM(AK$64:AK64)-AK$7)/AK$62</f>
        <v>0.88484447385837195</v>
      </c>
      <c r="AL69" s="120">
        <f>(SUM(AL$64:AL64)-AL$7)/AL$62</f>
        <v>0.85623003194888181</v>
      </c>
      <c r="AM69" s="120">
        <f>(SUM(AM$64:AM64)-AM$7)/AM$62</f>
        <v>2.2263814616755795</v>
      </c>
      <c r="AN69" s="122">
        <f>(SUM(AN$64:AN64)-AN$7)/AN$62</f>
        <v>2.2263814616755795</v>
      </c>
      <c r="AO69" s="120">
        <f>(SUM(AO$64:AO64)-AO$7)/AO$62</f>
        <v>-8.2016460905349788</v>
      </c>
      <c r="AP69" s="120">
        <f>(SUM(AP$64:AP64)-AP$7)/AP$62</f>
        <v>-2.2342857142857144</v>
      </c>
      <c r="AQ69" s="120">
        <f>(SUM(AQ$64:AQ64)-AQ$7)/AQ$62</f>
        <v>-1.59514687100894</v>
      </c>
      <c r="AR69" s="120">
        <f>(SUM(AR$64:AR64)-AR$7)/AR$62</f>
        <v>-1.835171966255678</v>
      </c>
      <c r="AS69" s="122">
        <f>(SUM(AS$64:AS64)-AS$7)/AS$62</f>
        <v>-1.835171966255678</v>
      </c>
      <c r="AT69" s="120">
        <f>(SUM(AT$64:AT64)-AT$7)/AT$62</f>
        <v>-2.628175519630485</v>
      </c>
      <c r="AU69" s="120">
        <f>(SUM(AU$64:AU64)-AU$7)/AU$62</f>
        <v>-3.7088305489260143</v>
      </c>
      <c r="AV69" s="120">
        <f>(SUM(AV$64:AV64)-AV$7)/AV$62</f>
        <v>-4.7780040733197557</v>
      </c>
      <c r="AW69" s="120">
        <f>(SUM(AW$64:AW64)-AW$7)/AW$62</f>
        <v>-10.038348082595871</v>
      </c>
      <c r="AX69" s="122">
        <f>(SUM(AX$64:AX64)-AX$7)/AX$62</f>
        <v>-10.038348082595871</v>
      </c>
      <c r="AY69" s="120">
        <f ca="1">(SUM(AY$64:AY64)-AY$7)/AY$62</f>
        <v>-18.754232464047043</v>
      </c>
      <c r="AZ69" s="120">
        <f ca="1">(SUM(AZ$64:AZ64)-AZ$7)/AZ$62</f>
        <v>-29.932523312331337</v>
      </c>
      <c r="BA69" s="120">
        <f ca="1">(SUM(BA$64:BA64)-BA$7)/BA$62</f>
        <v>-84.338935795143058</v>
      </c>
      <c r="BB69" s="120">
        <f ca="1">(SUM(BB$64:BB64)-BB$7)/BB$62</f>
        <v>28.672145490473241</v>
      </c>
      <c r="BC69" s="122">
        <f ca="1">(SUM(BC$64:BC64)-BC$7)/BC$62</f>
        <v>28.672145490473241</v>
      </c>
      <c r="BD69" s="120">
        <f ca="1">(SUM(BD$64:BD64)-BD$7)/BD$62</f>
        <v>20.124711652766351</v>
      </c>
      <c r="BE69" s="120">
        <f ca="1">(SUM(BE$64:BE64)-BE$7)/BE$62</f>
        <v>11.630652391239783</v>
      </c>
      <c r="BF69" s="120">
        <f ca="1">(SUM(BF$64:BF64)-BF$7)/BF$62</f>
        <v>4.1570290188735672</v>
      </c>
      <c r="BG69" s="120">
        <f ca="1">(SUM(BG$64:BG64)-BG$7)/BG$62</f>
        <v>1.349207368666252</v>
      </c>
      <c r="BH69" s="122">
        <f ca="1">(SUM(BH$64:BH64)-BH$7)/BH$62</f>
        <v>1.3492073686662545</v>
      </c>
      <c r="BI69" s="122">
        <f ca="1">(SUM(BI$64:BI64)-BI$7)/BI$62</f>
        <v>-6.5035358259728824</v>
      </c>
      <c r="BJ69" s="122">
        <f ca="1">(SUM(BJ$64:BJ64)-BJ$7)/BJ$62</f>
        <v>-10.372978708565022</v>
      </c>
      <c r="BK69" s="122">
        <f ca="1">(SUM(BK$64:BK64)-BK$7)/BK$62</f>
        <v>-12.972539072506951</v>
      </c>
      <c r="BL69" s="122">
        <f ca="1">(SUM(BL$64:BL64)-BL$7)/BL$62</f>
        <v>-15.1433286305853</v>
      </c>
    </row>
    <row r="70" spans="1:64" s="120" customFormat="1" ht="12.75" customHeight="1">
      <c r="C70" s="121" t="s">
        <v>301</v>
      </c>
      <c r="E70" s="122">
        <f>(SUM(E$64:E65)-E$7)/E$62</f>
        <v>3.2434456928838951</v>
      </c>
      <c r="F70" s="122">
        <f>(SUM(F$64:F65)-F$7)/F$62</f>
        <v>3.2434456928838951</v>
      </c>
      <c r="G70" s="122">
        <f>(SUM(G$64:G65)-G$7)/G$62</f>
        <v>3.2434456928838951</v>
      </c>
      <c r="H70" s="122">
        <f>(SUM(H$64:H65)-H$7)/H$62</f>
        <v>3.2434456928838951</v>
      </c>
      <c r="I70" s="122">
        <f>(SUM(I$64:I65)-I$7)/I$62</f>
        <v>3.2434456928838951</v>
      </c>
      <c r="J70" s="122">
        <f>(SUM(J$64:J65)-J$7)/J$62</f>
        <v>3.2434456928838951</v>
      </c>
      <c r="K70" s="122">
        <f>(SUM(K$64:K65)-K$7)/K$62</f>
        <v>3.2434456928838951</v>
      </c>
      <c r="L70" s="122">
        <f>(SUM(L$64:L65)-L$7)/L$62</f>
        <v>3.2434456928838951</v>
      </c>
      <c r="M70" s="122">
        <f>(SUM(M$64:M65)-M$7)/M$62</f>
        <v>3.2434456928838951</v>
      </c>
      <c r="N70" s="122">
        <f>(SUM(N$64:N65)-N$7)/N$62</f>
        <v>3.2434456928838951</v>
      </c>
      <c r="O70" s="122">
        <f>(SUM(O$64:O65)-O$7)/O$62</f>
        <v>3.2434456928838951</v>
      </c>
      <c r="P70" s="122">
        <f>(SUM(P$64:P65)-P$7)/P$62</f>
        <v>3.2434456928838951</v>
      </c>
      <c r="Q70" s="122">
        <f>(SUM(Q$64:Q65)-Q$7)/Q$62</f>
        <v>3.2434456928838951</v>
      </c>
      <c r="R70" s="122">
        <f>(SUM(R$64:R65)-R$7)/R$62</f>
        <v>3.2434456928838951</v>
      </c>
      <c r="S70" s="122">
        <f>(SUM(S$64:S65)-S$7)/S$62</f>
        <v>1.8491879350348028</v>
      </c>
      <c r="T70" s="122">
        <f>(SUM(T$64:T65)-T$7)/T$62</f>
        <v>0.22070015220700151</v>
      </c>
      <c r="Y70" s="122">
        <f>(SUM(Y$64:Y65)-Y$7)/Y$62</f>
        <v>0.84262948207171318</v>
      </c>
      <c r="Z70" s="120">
        <f>(SUM(Z$64:Z65)-Z$7)/Z$62</f>
        <v>0.44400527009222662</v>
      </c>
      <c r="AA70" s="120">
        <f>(SUM(AA$64:AA65)-AA$7)/AA$62</f>
        <v>-0.58386411889596601</v>
      </c>
      <c r="AB70" s="120">
        <f>(SUM(AB$64:AB65)-AB$7)/AB$62</f>
        <v>-0.85304922850844966</v>
      </c>
      <c r="AC70" s="120">
        <f>(SUM(AC$64:AC65)-AC$7)/AC$62</f>
        <v>-0.33771723813997184</v>
      </c>
      <c r="AD70" s="122">
        <f>(SUM(AD$64:AD65)-AD$7)/AD$62</f>
        <v>-0.33771723813997184</v>
      </c>
      <c r="AE70" s="120">
        <f>(SUM(AE$64:AE65)-AE$7)/AE$62</f>
        <v>5.1057622173595919E-3</v>
      </c>
      <c r="AF70" s="120">
        <f>(SUM(AF$64:AF65)-AF$7)/AF$62</f>
        <v>0.1711994421199442</v>
      </c>
      <c r="AG70" s="120">
        <f>(SUM(AG$64:AG65)-AG$7)/AG$62</f>
        <v>0.19939001143728555</v>
      </c>
      <c r="AH70" s="120">
        <f>(SUM(AH$64:AH65)-AH$7)/AH$62</f>
        <v>0.2529284164859002</v>
      </c>
      <c r="AI70" s="122">
        <f>(SUM(AI$64:AI65)-AI$7)/AI$62</f>
        <v>0.2529284164859002</v>
      </c>
      <c r="AJ70" s="120">
        <f>(SUM(AJ$64:AJ65)-AJ$7)/AJ$62</f>
        <v>0.41182572614107882</v>
      </c>
      <c r="AK70" s="120">
        <f>(SUM(AK$64:AK65)-AK$7)/AK$62</f>
        <v>0.88484447385837195</v>
      </c>
      <c r="AL70" s="120">
        <f>(SUM(AL$64:AL65)-AL$7)/AL$62</f>
        <v>0.85623003194888181</v>
      </c>
      <c r="AM70" s="120">
        <f>(SUM(AM$64:AM65)-AM$7)/AM$62</f>
        <v>2.2263814616755795</v>
      </c>
      <c r="AN70" s="122">
        <f>(SUM(AN$64:AN65)-AN$7)/AN$62</f>
        <v>2.2263814616755795</v>
      </c>
      <c r="AO70" s="120">
        <f>(SUM(AO$64:AO65)-AO$7)/AO$62</f>
        <v>-8.2016460905349788</v>
      </c>
      <c r="AP70" s="120">
        <f>(SUM(AP$64:AP65)-AP$7)/AP$62</f>
        <v>-2.2342857142857144</v>
      </c>
      <c r="AQ70" s="120">
        <f>(SUM(AQ$64:AQ65)-AQ$7)/AQ$62</f>
        <v>-1.7547892720306513</v>
      </c>
      <c r="AR70" s="120">
        <f>(SUM(AR$64:AR65)-AR$7)/AR$62</f>
        <v>-1.9974042829331602</v>
      </c>
      <c r="AS70" s="122">
        <f>(SUM(AS$64:AS65)-AS$7)/AS$62</f>
        <v>-1.9974042829331602</v>
      </c>
      <c r="AT70" s="120">
        <f>(SUM(AT$64:AT65)-AT$7)/AT$62</f>
        <v>-2.8290993071593533</v>
      </c>
      <c r="AU70" s="120">
        <f>(SUM(AU$64:AU65)-AU$7)/AU$62</f>
        <v>-4.0202863961813842</v>
      </c>
      <c r="AV70" s="120">
        <f>(SUM(AV$64:AV65)-AV$7)/AV$62</f>
        <v>-5.3299389002036657</v>
      </c>
      <c r="AW70" s="120">
        <f>(SUM(AW$64:AW65)-AW$7)/AW$62</f>
        <v>-10.837758112094395</v>
      </c>
      <c r="AX70" s="122">
        <f>(SUM(AX$64:AX65)-AX$7)/AX$62</f>
        <v>-10.837758112094395</v>
      </c>
      <c r="AY70" s="120">
        <f ca="1">(SUM(AY$64:AY65)-AY$7)/AY$62</f>
        <v>-20.404040084747674</v>
      </c>
      <c r="AZ70" s="120">
        <f ca="1">(SUM(AZ$64:AZ65)-AZ$7)/AZ$62</f>
        <v>-32.953114972670839</v>
      </c>
      <c r="BA70" s="120">
        <f ca="1">(SUM(BA$64:BA65)-BA$7)/BA$62</f>
        <v>-95.877858152618572</v>
      </c>
      <c r="BB70" s="120">
        <f ca="1">(SUM(BB$64:BB65)-BB$7)/BB$62</f>
        <v>32.790642584819508</v>
      </c>
      <c r="BC70" s="122">
        <f ca="1">(SUM(BC$64:BC65)-BC$7)/BC$62</f>
        <v>32.790642584819508</v>
      </c>
      <c r="BD70" s="120">
        <f ca="1">(SUM(BD$64:BD65)-BD$7)/BD$62</f>
        <v>23.568838426964671</v>
      </c>
      <c r="BE70" s="120">
        <f ca="1">(SUM(BE$64:BE65)-BE$7)/BE$62</f>
        <v>14.346991707166046</v>
      </c>
      <c r="BF70" s="120">
        <f ca="1">(SUM(BF$64:BF65)-BF$7)/BF$62</f>
        <v>6.4174494587681599</v>
      </c>
      <c r="BG70" s="120">
        <f ca="1">(SUM(BG$64:BG65)-BG$7)/BG$62</f>
        <v>3.3320293845752791</v>
      </c>
      <c r="BH70" s="122">
        <f ca="1">(SUM(BH$64:BH65)-BH$7)/BH$62</f>
        <v>3.3320293845752849</v>
      </c>
      <c r="BI70" s="122">
        <f ca="1">(SUM(BI$64:BI65)-BI$7)/BI$62</f>
        <v>-5.3687304066061143</v>
      </c>
      <c r="BJ70" s="122">
        <f ca="1">(SUM(BJ$64:BJ65)-BJ$7)/BJ$62</f>
        <v>-9.5218399910596467</v>
      </c>
      <c r="BK70" s="122">
        <f ca="1">(SUM(BK$64:BK65)-BK$7)/BK$62</f>
        <v>-12.278085645902209</v>
      </c>
      <c r="BL70" s="122">
        <f ca="1">(SUM(BL$64:BL65)-BL$7)/BL$62</f>
        <v>-14.541909903266689</v>
      </c>
    </row>
    <row r="71" spans="1:64" s="120" customFormat="1" ht="12.75" customHeight="1">
      <c r="C71" s="121" t="s">
        <v>302</v>
      </c>
      <c r="E71" s="122">
        <f>(SUM(E$64:E66)-E$7)/E$62</f>
        <v>12.749063670411985</v>
      </c>
      <c r="F71" s="122">
        <f>(SUM(F$64:F66)-F$7)/F$62</f>
        <v>12.749063670411985</v>
      </c>
      <c r="G71" s="122">
        <f>(SUM(G$64:G66)-G$7)/G$62</f>
        <v>12.749063670411985</v>
      </c>
      <c r="H71" s="122">
        <f>(SUM(H$64:H66)-H$7)/H$62</f>
        <v>12.749063670411985</v>
      </c>
      <c r="I71" s="122">
        <f>(SUM(I$64:I66)-I$7)/I$62</f>
        <v>12.749063670411985</v>
      </c>
      <c r="J71" s="122">
        <f>(SUM(J$64:J66)-J$7)/J$62</f>
        <v>12.749063670411985</v>
      </c>
      <c r="K71" s="122">
        <f>(SUM(K$64:K66)-K$7)/K$62</f>
        <v>12.749063670411985</v>
      </c>
      <c r="L71" s="122">
        <f>(SUM(L$64:L66)-L$7)/L$62</f>
        <v>12.749063670411985</v>
      </c>
      <c r="M71" s="122">
        <f>(SUM(M$64:M66)-M$7)/M$62</f>
        <v>12.749063670411985</v>
      </c>
      <c r="N71" s="122">
        <f>(SUM(N$64:N66)-N$7)/N$62</f>
        <v>12.749063670411985</v>
      </c>
      <c r="O71" s="122">
        <f>(SUM(O$64:O66)-O$7)/O$62</f>
        <v>12.749063670411985</v>
      </c>
      <c r="P71" s="122">
        <f>(SUM(P$64:P66)-P$7)/P$62</f>
        <v>12.749063670411985</v>
      </c>
      <c r="Q71" s="122">
        <f>(SUM(Q$64:Q66)-Q$7)/Q$62</f>
        <v>12.749063670411985</v>
      </c>
      <c r="R71" s="122">
        <f>(SUM(R$64:R66)-R$7)/R$62</f>
        <v>12.749063670411985</v>
      </c>
      <c r="S71" s="122">
        <f>(SUM(S$64:S66)-S$7)/S$62</f>
        <v>7.7215777262180971</v>
      </c>
      <c r="T71" s="122">
        <f>(SUM(T$64:T66)-T$7)/T$62</f>
        <v>4.3987823439878238</v>
      </c>
      <c r="Y71" s="122">
        <f>(SUM(Y$64:Y66)-Y$7)/Y$62</f>
        <v>0.82470119521912355</v>
      </c>
      <c r="Z71" s="120">
        <f>(SUM(Z$64:Z66)-Z$7)/Z$62</f>
        <v>0.42292490118577075</v>
      </c>
      <c r="AA71" s="120">
        <f>(SUM(AA$64:AA66)-AA$7)/AA$62</f>
        <v>-0.55201698513800423</v>
      </c>
      <c r="AB71" s="120">
        <f>(SUM(AB$64:AB66)-AB$7)/AB$62</f>
        <v>-0.84276267450404119</v>
      </c>
      <c r="AC71" s="120">
        <f>(SUM(AC$64:AC66)-AC$7)/AC$62</f>
        <v>0.37435415688116486</v>
      </c>
      <c r="AD71" s="122">
        <f>(SUM(AD$64:AD66)-AD$7)/AD$62</f>
        <v>0.37435415688116486</v>
      </c>
      <c r="AE71" s="120">
        <f>(SUM(AE$64:AE66)-AE$7)/AE$62</f>
        <v>0.55762217359591537</v>
      </c>
      <c r="AF71" s="120">
        <f>(SUM(AF$64:AF66)-AF$7)/AF$62</f>
        <v>0.69874476987447698</v>
      </c>
      <c r="AG71" s="120">
        <f>(SUM(AG$64:AG66)-AG$7)/AG$62</f>
        <v>0.77582920320243998</v>
      </c>
      <c r="AH71" s="120">
        <f>(SUM(AH$64:AH66)-AH$7)/AH$62</f>
        <v>0.90759219088937093</v>
      </c>
      <c r="AI71" s="122">
        <f>(SUM(AI$64:AI66)-AI$7)/AI$62</f>
        <v>0.90759219088937093</v>
      </c>
      <c r="AJ71" s="120">
        <f>(SUM(AJ$64:AJ66)-AJ$7)/AJ$62</f>
        <v>1.1939834024896265</v>
      </c>
      <c r="AK71" s="120">
        <f>(SUM(AK$64:AK66)-AK$7)/AK$62</f>
        <v>1.8802117802779617</v>
      </c>
      <c r="AL71" s="120">
        <f>(SUM(AL$64:AL66)-AL$7)/AL$62</f>
        <v>2.0575079872204474</v>
      </c>
      <c r="AM71" s="120">
        <f>(SUM(AM$64:AM66)-AM$7)/AM$62</f>
        <v>4.903743315508021</v>
      </c>
      <c r="AN71" s="122">
        <f>(SUM(AN$64:AN66)-AN$7)/AN$62</f>
        <v>4.903743315508021</v>
      </c>
      <c r="AO71" s="120">
        <f>(SUM(AO$64:AO66)-AO$7)/AO$62</f>
        <v>-14.382716049382717</v>
      </c>
      <c r="AP71" s="120">
        <f>(SUM(AP$64:AP66)-AP$7)/AP$62</f>
        <v>-3.6828571428571428</v>
      </c>
      <c r="AQ71" s="120">
        <f>(SUM(AQ$64:AQ66)-AQ$7)/AQ$62</f>
        <v>-2.7139208173690932</v>
      </c>
      <c r="AR71" s="120">
        <f>(SUM(AR$64:AR66)-AR$7)/AR$62</f>
        <v>-2.9707981829980534</v>
      </c>
      <c r="AS71" s="122">
        <f>(SUM(AS$64:AS66)-AS$7)/AS$62</f>
        <v>-2.9707981829980534</v>
      </c>
      <c r="AT71" s="120">
        <f>(SUM(AT$64:AT66)-AT$7)/AT$62</f>
        <v>-3.9838337182448038</v>
      </c>
      <c r="AU71" s="120">
        <f>(SUM(AU$64:AU66)-AU$7)/AU$62</f>
        <v>-5.8174224343675416</v>
      </c>
      <c r="AV71" s="120">
        <f>(SUM(AV$64:AV66)-AV$7)/AV$62</f>
        <v>-9.2627291242362517</v>
      </c>
      <c r="AW71" s="120">
        <f>(SUM(AW$64:AW66)-AW$7)/AW$62</f>
        <v>-15.64896755162242</v>
      </c>
      <c r="AX71" s="122">
        <f>(SUM(AX$64:AX66)-AX$7)/AX$62</f>
        <v>-15.64896755162242</v>
      </c>
      <c r="AY71" s="120">
        <f ca="1">(SUM(AY$64:AY66)-AY$7)/AY$62</f>
        <v>-29.951429487822917</v>
      </c>
      <c r="AZ71" s="120">
        <f ca="1">(SUM(AZ$64:AZ66)-AZ$7)/AZ$62</f>
        <v>-50.433192314473729</v>
      </c>
      <c r="BA71" s="120">
        <f ca="1">(SUM(BA$64:BA66)-BA$7)/BA$62</f>
        <v>-160.08498591824443</v>
      </c>
      <c r="BB71" s="120">
        <f ca="1">(SUM(BB$64:BB66)-BB$7)/BB$62</f>
        <v>52.897418053475725</v>
      </c>
      <c r="BC71" s="122">
        <f ca="1">(SUM(BC$64:BC66)-BC$7)/BC$62</f>
        <v>52.897418053475725</v>
      </c>
      <c r="BD71" s="120">
        <f ca="1">(SUM(BD$64:BD66)-BD$7)/BD$62</f>
        <v>39.736583543132923</v>
      </c>
      <c r="BE71" s="120">
        <f ca="1">(SUM(BE$64:BE66)-BE$7)/BE$62</f>
        <v>27.098288215159759</v>
      </c>
      <c r="BF71" s="120">
        <f ca="1">(SUM(BF$64:BF66)-BF$7)/BF$62</f>
        <v>16.62041010285105</v>
      </c>
      <c r="BG71" s="120">
        <f ca="1">(SUM(BG$64:BG66)-BG$7)/BG$62</f>
        <v>12.281981630399198</v>
      </c>
      <c r="BH71" s="122">
        <f ca="1">(SUM(BH$64:BH66)-BH$7)/BH$62</f>
        <v>12.281981630399219</v>
      </c>
      <c r="BI71" s="122">
        <f ca="1">(SUM(BI$64:BI66)-BI$7)/BI$62</f>
        <v>-0.62593237068989627</v>
      </c>
      <c r="BJ71" s="122">
        <f ca="1">(SUM(BJ$64:BJ66)-BJ$7)/BJ$62</f>
        <v>-6.2280961434977415</v>
      </c>
      <c r="BK71" s="122">
        <f ca="1">(SUM(BK$64:BK66)-BK$7)/BK$62</f>
        <v>-9.7897506678509973</v>
      </c>
      <c r="BL71" s="122">
        <f ca="1">(SUM(BL$64:BL66)-BL$7)/BL$62</f>
        <v>-12.546560704210846</v>
      </c>
    </row>
    <row r="72" spans="1:64" s="120" customFormat="1" ht="12.75" customHeight="1">
      <c r="C72" s="121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Y72" s="122"/>
      <c r="AD72" s="122"/>
      <c r="AI72" s="122"/>
      <c r="AN72" s="122"/>
      <c r="AS72" s="122"/>
      <c r="AX72" s="122"/>
      <c r="BC72" s="122"/>
      <c r="BE72" s="228"/>
      <c r="BH72" s="122"/>
      <c r="BI72" s="122"/>
      <c r="BJ72" s="122"/>
      <c r="BK72" s="122"/>
      <c r="BL72" s="122"/>
    </row>
    <row r="73" spans="1:64" ht="12.75" customHeight="1"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9"/>
      <c r="AE73" s="20"/>
      <c r="AF73" s="20"/>
      <c r="AG73" s="20"/>
      <c r="AH73" s="20"/>
      <c r="AI73" s="9"/>
      <c r="AJ73" s="20"/>
      <c r="AK73" s="20"/>
      <c r="AL73" s="20"/>
      <c r="AM73" s="20"/>
      <c r="AN73" s="9"/>
      <c r="AO73" s="20"/>
      <c r="AP73" s="20"/>
      <c r="AQ73" s="20"/>
      <c r="AR73" s="20"/>
      <c r="AS73" s="9"/>
      <c r="AT73" s="20"/>
      <c r="AU73" s="20"/>
      <c r="AV73" s="20"/>
      <c r="AW73" s="20"/>
      <c r="AX73" s="9"/>
      <c r="AY73" s="20"/>
      <c r="AZ73" s="20"/>
      <c r="BA73" s="20"/>
      <c r="BB73" s="20"/>
      <c r="BC73" s="9"/>
      <c r="BD73" s="20"/>
      <c r="BE73" s="20"/>
      <c r="BF73" s="20"/>
      <c r="BG73" s="20"/>
      <c r="BH73" s="9"/>
      <c r="BI73" s="9"/>
      <c r="BJ73" s="9"/>
      <c r="BK73" s="9"/>
      <c r="BL73" s="9"/>
    </row>
    <row r="74" spans="1:64" ht="12.75" customHeight="1"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9"/>
      <c r="AE74" s="20"/>
      <c r="AF74" s="20"/>
      <c r="AG74" s="20"/>
      <c r="AH74" s="20"/>
      <c r="AI74" s="9"/>
      <c r="AJ74" s="20"/>
      <c r="AK74" s="20"/>
      <c r="AL74" s="20"/>
      <c r="AM74" s="20"/>
      <c r="AN74" s="9"/>
      <c r="AO74" s="20"/>
      <c r="AP74" s="20"/>
      <c r="AQ74" s="20"/>
      <c r="AR74" s="20"/>
      <c r="AS74" s="9"/>
      <c r="AT74" s="20"/>
      <c r="AU74" s="20"/>
      <c r="AV74" s="20"/>
      <c r="AW74" s="20"/>
      <c r="AX74" s="9"/>
      <c r="AY74" s="20"/>
      <c r="AZ74" s="20"/>
      <c r="BA74" s="20"/>
      <c r="BB74" s="20"/>
      <c r="BC74" s="9"/>
      <c r="BD74" s="20"/>
      <c r="BE74" s="20"/>
      <c r="BF74" s="20"/>
      <c r="BG74" s="20"/>
      <c r="BH74" s="169"/>
      <c r="BI74" s="9"/>
      <c r="BJ74" s="9"/>
      <c r="BK74" s="9"/>
      <c r="BL74" s="9"/>
    </row>
    <row r="75" spans="1:64" ht="12.75" customHeight="1">
      <c r="A75" s="1"/>
      <c r="B75" s="8" t="s">
        <v>30</v>
      </c>
      <c r="C75" s="2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13"/>
      <c r="AC75" s="213"/>
      <c r="AD75" s="9"/>
      <c r="AE75" s="20"/>
      <c r="AF75" s="20"/>
      <c r="AG75" s="20"/>
      <c r="AH75" s="20"/>
      <c r="AI75" s="9"/>
      <c r="AJ75" s="20"/>
      <c r="AK75" s="20"/>
      <c r="AL75" s="66"/>
      <c r="AM75" s="20"/>
      <c r="AN75" s="9"/>
      <c r="AO75" s="20"/>
      <c r="AP75" s="20"/>
      <c r="AQ75" s="66"/>
      <c r="AR75" s="20"/>
      <c r="AS75" s="24"/>
      <c r="AV75" s="10"/>
      <c r="AW75" s="20"/>
      <c r="AX75" s="10"/>
      <c r="AY75" s="20"/>
      <c r="AZ75" s="20"/>
      <c r="BA75" s="20"/>
      <c r="BB75" s="20"/>
      <c r="BC75" s="9"/>
      <c r="BD75" s="20"/>
      <c r="BE75" s="20"/>
      <c r="BF75" s="20"/>
      <c r="BG75" s="20"/>
      <c r="BH75" s="169"/>
      <c r="BI75" s="9"/>
      <c r="BJ75" s="9"/>
      <c r="BK75" s="9"/>
      <c r="BL75" s="9"/>
    </row>
    <row r="76" spans="1:64" ht="12.75" customHeight="1"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9"/>
      <c r="AE76" s="20"/>
      <c r="AF76" s="20"/>
      <c r="AG76" s="20"/>
      <c r="AH76" s="20"/>
      <c r="AI76" s="9"/>
      <c r="AJ76" s="20"/>
      <c r="AK76" s="20"/>
      <c r="AL76" s="20"/>
      <c r="AM76" s="20"/>
      <c r="AN76" s="9"/>
      <c r="AO76" s="20"/>
      <c r="AP76" s="20"/>
      <c r="AQ76" s="20"/>
      <c r="AR76" s="20"/>
      <c r="AS76" s="118"/>
      <c r="AT76" s="119"/>
      <c r="AU76" s="20"/>
      <c r="AV76" s="20"/>
      <c r="AW76" s="20"/>
      <c r="AX76" s="9"/>
      <c r="AY76" s="20"/>
      <c r="AZ76" s="20"/>
      <c r="BA76" s="20"/>
      <c r="BB76" s="20"/>
      <c r="BC76" s="9"/>
      <c r="BD76" s="20"/>
      <c r="BE76" s="20"/>
      <c r="BF76" s="20"/>
      <c r="BG76" s="20"/>
      <c r="BH76" s="169"/>
      <c r="BI76" s="9"/>
      <c r="BJ76" s="9"/>
      <c r="BK76" s="9"/>
      <c r="BL76" s="9"/>
    </row>
    <row r="77" spans="1:64" ht="12.75" customHeight="1">
      <c r="B77" s="203" t="s">
        <v>248</v>
      </c>
      <c r="C77" s="204"/>
      <c r="E77" s="46">
        <f t="shared" ref="E77:AJ77" si="231">E5</f>
        <v>2004</v>
      </c>
      <c r="F77" s="46">
        <f t="shared" si="231"/>
        <v>2005</v>
      </c>
      <c r="G77" s="46">
        <f t="shared" si="231"/>
        <v>2006</v>
      </c>
      <c r="H77" s="46">
        <f t="shared" si="231"/>
        <v>2007</v>
      </c>
      <c r="I77" s="46">
        <f t="shared" si="231"/>
        <v>2008</v>
      </c>
      <c r="J77" s="46">
        <f t="shared" si="231"/>
        <v>2009</v>
      </c>
      <c r="K77" s="46">
        <f t="shared" si="231"/>
        <v>2010</v>
      </c>
      <c r="L77" s="46">
        <f t="shared" si="231"/>
        <v>2011</v>
      </c>
      <c r="M77" s="46">
        <f t="shared" si="231"/>
        <v>2012</v>
      </c>
      <c r="N77" s="46">
        <f t="shared" si="231"/>
        <v>2013</v>
      </c>
      <c r="O77" s="46">
        <f t="shared" si="231"/>
        <v>2014</v>
      </c>
      <c r="P77" s="46">
        <f t="shared" si="231"/>
        <v>2015</v>
      </c>
      <c r="Q77" s="46">
        <f t="shared" si="231"/>
        <v>2016</v>
      </c>
      <c r="R77" s="46">
        <f t="shared" si="231"/>
        <v>2017</v>
      </c>
      <c r="S77" s="46">
        <f t="shared" si="231"/>
        <v>2018</v>
      </c>
      <c r="T77" s="46">
        <f t="shared" si="231"/>
        <v>2019</v>
      </c>
      <c r="U77" s="30" t="str">
        <f t="shared" si="231"/>
        <v>1Q</v>
      </c>
      <c r="V77" s="30" t="str">
        <f t="shared" si="231"/>
        <v>2Q</v>
      </c>
      <c r="W77" s="30" t="str">
        <f t="shared" si="231"/>
        <v>3Q</v>
      </c>
      <c r="X77" s="30" t="str">
        <f t="shared" si="231"/>
        <v>4Q</v>
      </c>
      <c r="Y77" s="46">
        <f t="shared" si="231"/>
        <v>2020</v>
      </c>
      <c r="Z77" s="30" t="str">
        <f t="shared" si="231"/>
        <v>1Q</v>
      </c>
      <c r="AA77" s="30" t="str">
        <f t="shared" si="231"/>
        <v>2Q</v>
      </c>
      <c r="AB77" s="30" t="str">
        <f t="shared" si="231"/>
        <v>3Q</v>
      </c>
      <c r="AC77" s="30" t="str">
        <f t="shared" si="231"/>
        <v>4Q</v>
      </c>
      <c r="AD77" s="46">
        <f t="shared" si="231"/>
        <v>2021</v>
      </c>
      <c r="AE77" s="30" t="str">
        <f t="shared" si="231"/>
        <v>1Q</v>
      </c>
      <c r="AF77" s="30" t="str">
        <f t="shared" si="231"/>
        <v>2Q</v>
      </c>
      <c r="AG77" s="30" t="str">
        <f t="shared" si="231"/>
        <v>3Q</v>
      </c>
      <c r="AH77" s="30" t="str">
        <f t="shared" si="231"/>
        <v>4Q</v>
      </c>
      <c r="AI77" s="46">
        <f t="shared" si="231"/>
        <v>2022</v>
      </c>
      <c r="AJ77" s="30" t="str">
        <f t="shared" si="231"/>
        <v>1Q</v>
      </c>
      <c r="AK77" s="30" t="str">
        <f t="shared" ref="AK77:BL77" si="232">AK5</f>
        <v>2Q</v>
      </c>
      <c r="AL77" s="30" t="str">
        <f t="shared" si="232"/>
        <v>3Q</v>
      </c>
      <c r="AM77" s="30" t="str">
        <f t="shared" si="232"/>
        <v>4Q</v>
      </c>
      <c r="AN77" s="46">
        <f t="shared" si="232"/>
        <v>2023</v>
      </c>
      <c r="AO77" s="30" t="str">
        <f t="shared" si="232"/>
        <v>1Q</v>
      </c>
      <c r="AP77" s="30" t="str">
        <f t="shared" si="232"/>
        <v>2Q</v>
      </c>
      <c r="AQ77" s="30" t="str">
        <f t="shared" si="232"/>
        <v>3Q</v>
      </c>
      <c r="AR77" s="102" t="str">
        <f t="shared" si="232"/>
        <v>4Q</v>
      </c>
      <c r="AS77" s="46">
        <f t="shared" si="232"/>
        <v>2024</v>
      </c>
      <c r="AT77" s="102" t="str">
        <f t="shared" si="232"/>
        <v>1Q</v>
      </c>
      <c r="AU77" s="102" t="str">
        <f t="shared" si="232"/>
        <v>2Q</v>
      </c>
      <c r="AV77" s="102" t="str">
        <f t="shared" si="232"/>
        <v>3Q</v>
      </c>
      <c r="AW77" s="102" t="str">
        <f t="shared" si="232"/>
        <v>4Q</v>
      </c>
      <c r="AX77" s="46">
        <f t="shared" si="232"/>
        <v>2025</v>
      </c>
      <c r="AY77" s="102" t="str">
        <f t="shared" si="232"/>
        <v>1Q</v>
      </c>
      <c r="AZ77" s="102" t="str">
        <f t="shared" si="232"/>
        <v>2Q</v>
      </c>
      <c r="BA77" s="102" t="str">
        <f t="shared" si="232"/>
        <v>3Q</v>
      </c>
      <c r="BB77" s="102" t="str">
        <f t="shared" si="232"/>
        <v>4Q</v>
      </c>
      <c r="BC77" s="103">
        <f t="shared" si="232"/>
        <v>2026</v>
      </c>
      <c r="BD77" s="102" t="str">
        <f t="shared" si="232"/>
        <v>1Q</v>
      </c>
      <c r="BE77" s="102" t="str">
        <f t="shared" si="232"/>
        <v>2Q</v>
      </c>
      <c r="BF77" s="102" t="str">
        <f t="shared" si="232"/>
        <v>3Q</v>
      </c>
      <c r="BG77" s="102" t="str">
        <f t="shared" si="232"/>
        <v>4Q</v>
      </c>
      <c r="BH77" s="103">
        <f t="shared" si="232"/>
        <v>2027</v>
      </c>
      <c r="BI77" s="103">
        <f t="shared" si="232"/>
        <v>2028</v>
      </c>
      <c r="BJ77" s="103">
        <f t="shared" si="232"/>
        <v>2029</v>
      </c>
      <c r="BK77" s="103">
        <f t="shared" si="232"/>
        <v>2030</v>
      </c>
      <c r="BL77" s="103">
        <f t="shared" si="232"/>
        <v>2031</v>
      </c>
    </row>
    <row r="78" spans="1:64" s="38" customFormat="1" ht="16.95" customHeight="1">
      <c r="B78" s="135"/>
      <c r="C78" s="84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42"/>
      <c r="V78" s="42"/>
      <c r="W78" s="42"/>
      <c r="X78" s="42"/>
      <c r="Y78" s="52"/>
      <c r="Z78" s="42"/>
      <c r="AA78" s="42"/>
      <c r="AB78" s="42"/>
      <c r="AC78" s="42"/>
      <c r="AD78" s="50"/>
      <c r="AI78" s="50"/>
      <c r="AJ78" s="42"/>
      <c r="AK78" s="42"/>
      <c r="AL78" s="42"/>
      <c r="AM78" s="42"/>
      <c r="AN78" s="50"/>
      <c r="AO78" s="42"/>
      <c r="AP78" s="42"/>
      <c r="AQ78" s="42"/>
      <c r="AR78" s="42"/>
      <c r="AS78" s="50"/>
      <c r="AT78" s="42"/>
      <c r="AU78" s="42"/>
      <c r="AV78" s="42"/>
      <c r="AW78" s="42"/>
      <c r="AX78" s="50"/>
      <c r="AY78" s="42"/>
      <c r="AZ78" s="42"/>
      <c r="BA78" s="42"/>
      <c r="BB78" s="42"/>
      <c r="BC78" s="50"/>
      <c r="BD78" s="42"/>
      <c r="BE78" s="42"/>
      <c r="BF78" s="42"/>
      <c r="BG78" s="42"/>
      <c r="BH78" s="50"/>
      <c r="BI78" s="50"/>
      <c r="BJ78" s="50"/>
      <c r="BK78" s="50"/>
      <c r="BL78" s="50"/>
    </row>
    <row r="79" spans="1:64" s="84" customFormat="1" ht="12.75" customHeight="1">
      <c r="C79" s="84" t="s">
        <v>50</v>
      </c>
      <c r="E79" s="48">
        <v>5994</v>
      </c>
      <c r="F79" s="48">
        <v>5994</v>
      </c>
      <c r="G79" s="48">
        <v>5994</v>
      </c>
      <c r="H79" s="48">
        <v>5994</v>
      </c>
      <c r="I79" s="48">
        <v>5994</v>
      </c>
      <c r="J79" s="48">
        <v>5994</v>
      </c>
      <c r="K79" s="48">
        <v>5994</v>
      </c>
      <c r="L79" s="48">
        <v>5994</v>
      </c>
      <c r="M79" s="48">
        <v>5994</v>
      </c>
      <c r="N79" s="48">
        <v>5994</v>
      </c>
      <c r="O79" s="48">
        <v>5994</v>
      </c>
      <c r="P79" s="48">
        <v>5994</v>
      </c>
      <c r="Q79" s="48">
        <v>5994</v>
      </c>
      <c r="R79" s="48">
        <v>5994</v>
      </c>
      <c r="S79" s="48">
        <v>6480</v>
      </c>
      <c r="T79" s="48">
        <v>6938</v>
      </c>
      <c r="U79" s="39">
        <v>1381</v>
      </c>
      <c r="V79" s="39">
        <v>533</v>
      </c>
      <c r="W79" s="39">
        <v>866</v>
      </c>
      <c r="X79" s="39">
        <v>876</v>
      </c>
      <c r="Y79" s="50">
        <f>SUM(U79:X79)</f>
        <v>3656</v>
      </c>
      <c r="Z79" s="39">
        <v>967</v>
      </c>
      <c r="AA79" s="39">
        <v>1643</v>
      </c>
      <c r="AB79" s="39">
        <v>1914</v>
      </c>
      <c r="AC79" s="39">
        <v>1691</v>
      </c>
      <c r="AD79" s="50">
        <f>SUM(Z79:AC79)</f>
        <v>6215</v>
      </c>
      <c r="AE79" s="39">
        <v>1558</v>
      </c>
      <c r="AF79" s="39">
        <v>1973</v>
      </c>
      <c r="AG79" s="39">
        <v>2042</v>
      </c>
      <c r="AH79" s="39">
        <v>1707</v>
      </c>
      <c r="AI79" s="50">
        <f>SUM(AE79:AH79)</f>
        <v>7280</v>
      </c>
      <c r="AJ79" s="39">
        <v>1730</v>
      </c>
      <c r="AK79" s="39">
        <v>2015</v>
      </c>
      <c r="AL79" s="39">
        <v>2172</v>
      </c>
      <c r="AM79" s="39">
        <v>1805</v>
      </c>
      <c r="AN79" s="50">
        <f>SUM(AJ79:AM79)</f>
        <v>7722</v>
      </c>
      <c r="AO79" s="39">
        <v>1739</v>
      </c>
      <c r="AP79" s="39">
        <v>1928</v>
      </c>
      <c r="AQ79" s="39">
        <v>2062</v>
      </c>
      <c r="AR79" s="39">
        <v>1669</v>
      </c>
      <c r="AS79" s="50">
        <f>SUM(AO79:AR79)</f>
        <v>7398</v>
      </c>
      <c r="AT79" s="39">
        <v>1490</v>
      </c>
      <c r="AU79" s="39">
        <v>1738</v>
      </c>
      <c r="AV79" s="39">
        <v>1910</v>
      </c>
      <c r="AW79" s="39">
        <v>1621</v>
      </c>
      <c r="AX79" s="50">
        <f>SUM(AT79:AW79)</f>
        <v>6759</v>
      </c>
      <c r="AY79" s="38">
        <f>AY86*AY90/1000</f>
        <v>1539.0089403362524</v>
      </c>
      <c r="AZ79" s="38">
        <f t="shared" ref="AZ79:BB79" si="233">AZ86*AZ90/1000</f>
        <v>1791.0808445843338</v>
      </c>
      <c r="BA79" s="38">
        <f t="shared" si="233"/>
        <v>1985.6761302199493</v>
      </c>
      <c r="BB79" s="38">
        <f t="shared" si="233"/>
        <v>1689.0629668160714</v>
      </c>
      <c r="BC79" s="50">
        <f>SUM(AY79:BB79)</f>
        <v>7004.828881956606</v>
      </c>
      <c r="BD79" s="38">
        <f>BD86*BD90/1000</f>
        <v>1569.7891191429778</v>
      </c>
      <c r="BE79" s="38">
        <f t="shared" ref="BE79:BL79" si="234">BE86*BE90/1000</f>
        <v>1826.9024614760203</v>
      </c>
      <c r="BF79" s="38">
        <f t="shared" si="234"/>
        <v>2025.3896528243486</v>
      </c>
      <c r="BG79" s="38">
        <f t="shared" si="234"/>
        <v>1722.844226152393</v>
      </c>
      <c r="BH79" s="50">
        <f>SUM(BD79:BG79)</f>
        <v>7144.92545959574</v>
      </c>
      <c r="BI79" s="50">
        <f t="shared" si="234"/>
        <v>7306.4865801616015</v>
      </c>
      <c r="BJ79" s="50">
        <f t="shared" si="234"/>
        <v>7432.2539721152025</v>
      </c>
      <c r="BK79" s="50">
        <f t="shared" si="234"/>
        <v>7580.8990515575069</v>
      </c>
      <c r="BL79" s="50">
        <f t="shared" si="234"/>
        <v>7732.5170325886593</v>
      </c>
    </row>
    <row r="80" spans="1:64" s="156" customFormat="1" ht="12.75" customHeight="1">
      <c r="C80" s="156" t="s">
        <v>12</v>
      </c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>
        <f>S79/R79-1</f>
        <v>8.1081081081081141E-2</v>
      </c>
      <c r="T80" s="206">
        <f>T79/S79-1</f>
        <v>7.0679012345679082E-2</v>
      </c>
      <c r="U80" s="119"/>
      <c r="V80" s="119"/>
      <c r="W80" s="119"/>
      <c r="X80" s="119"/>
      <c r="Y80" s="206">
        <f t="shared" ref="Y80" si="235">Y79/T79-1</f>
        <v>-0.47304698760449693</v>
      </c>
      <c r="Z80" s="119"/>
      <c r="AA80" s="119"/>
      <c r="AB80" s="119"/>
      <c r="AC80" s="119"/>
      <c r="AD80" s="206"/>
      <c r="AE80" s="119">
        <f>AE79/Z79-1</f>
        <v>0.61116856256463281</v>
      </c>
      <c r="AF80" s="119">
        <f>AF79/AA79-1</f>
        <v>0.20085209981740726</v>
      </c>
      <c r="AG80" s="119">
        <f>AG79/AB79-1</f>
        <v>6.6875653082549613E-2</v>
      </c>
      <c r="AH80" s="119">
        <f>AH79/AC79-1</f>
        <v>9.4618568894144772E-3</v>
      </c>
      <c r="AI80" s="206">
        <f t="shared" ref="AI80" si="236">AI79/AD79-1</f>
        <v>0.17135961383748999</v>
      </c>
      <c r="AJ80" s="119">
        <f>AJ79/AE79-1</f>
        <v>0.11039794608472397</v>
      </c>
      <c r="AK80" s="119">
        <f t="shared" ref="AK80" si="237">AK79/AF79-1</f>
        <v>2.1287379624936653E-2</v>
      </c>
      <c r="AL80" s="119">
        <f t="shared" ref="AL80" si="238">AL79/AG79-1</f>
        <v>6.3663075416258597E-2</v>
      </c>
      <c r="AM80" s="119">
        <f t="shared" ref="AM80" si="239">AM79/AH79-1</f>
        <v>5.7410661980082045E-2</v>
      </c>
      <c r="AN80" s="206">
        <f t="shared" ref="AN80" si="240">AN79/AI79-1</f>
        <v>6.0714285714285721E-2</v>
      </c>
      <c r="AO80" s="119">
        <f>AO79/AJ79-1</f>
        <v>5.2023121387283489E-3</v>
      </c>
      <c r="AP80" s="119">
        <f>AP79/AK79-1</f>
        <v>-4.3176178660049636E-2</v>
      </c>
      <c r="AQ80" s="119">
        <f>AQ79/AL79-1</f>
        <v>-5.0644567219152892E-2</v>
      </c>
      <c r="AR80" s="119">
        <f>AR79/AM79-1</f>
        <v>-7.534626038781167E-2</v>
      </c>
      <c r="AS80" s="206">
        <f t="shared" ref="AS80:AX80" si="241">AS79/AN79-1</f>
        <v>-4.1958041958041981E-2</v>
      </c>
      <c r="AT80" s="119">
        <f>AT79/AO79-1</f>
        <v>-0.14318573893041975</v>
      </c>
      <c r="AU80" s="119">
        <f t="shared" si="241"/>
        <v>-9.8547717842323634E-2</v>
      </c>
      <c r="AV80" s="119">
        <f t="shared" si="241"/>
        <v>-7.371483996120276E-2</v>
      </c>
      <c r="AW80" s="119">
        <f t="shared" si="241"/>
        <v>-2.8759736369083244E-2</v>
      </c>
      <c r="AX80" s="206">
        <f t="shared" si="241"/>
        <v>-8.6374695863746909E-2</v>
      </c>
      <c r="AY80" s="119">
        <f>AY79/AT79-1</f>
        <v>3.2891906265941184E-2</v>
      </c>
      <c r="AZ80" s="119">
        <f t="shared" ref="AZ80:BB80" si="242">AZ79/AU79-1</f>
        <v>3.0541337505370469E-2</v>
      </c>
      <c r="BA80" s="119">
        <f t="shared" si="242"/>
        <v>3.9621010586360805E-2</v>
      </c>
      <c r="BB80" s="119">
        <f t="shared" si="242"/>
        <v>4.1988258368952147E-2</v>
      </c>
      <c r="BC80" s="206">
        <f t="shared" ref="BC80" si="243">BC79/AX79-1</f>
        <v>3.6370599490546773E-2</v>
      </c>
      <c r="BD80" s="119">
        <f>BD79/AY79-1</f>
        <v>2.000000000000024E-2</v>
      </c>
      <c r="BE80" s="119">
        <f t="shared" ref="BE80" si="244">BE79/AZ79-1</f>
        <v>2.0000000000000018E-2</v>
      </c>
      <c r="BF80" s="119">
        <f t="shared" ref="BF80" si="245">BF79/BA79-1</f>
        <v>2.000000000000024E-2</v>
      </c>
      <c r="BG80" s="119">
        <f t="shared" ref="BG80:BH80" si="246">BG79/BB79-1</f>
        <v>2.000000000000024E-2</v>
      </c>
      <c r="BH80" s="206">
        <f t="shared" si="246"/>
        <v>2.000000000000024E-2</v>
      </c>
      <c r="BI80" s="205">
        <f>BI79/BH79-1</f>
        <v>2.2612009247609866E-2</v>
      </c>
      <c r="BJ80" s="205">
        <f t="shared" ref="BJ80:BL80" si="247">BJ79/BI79-1</f>
        <v>1.7213114754098369E-2</v>
      </c>
      <c r="BK80" s="205">
        <f t="shared" si="247"/>
        <v>2.0000000000000018E-2</v>
      </c>
      <c r="BL80" s="205">
        <f t="shared" si="247"/>
        <v>2.000000000000024E-2</v>
      </c>
    </row>
    <row r="81" spans="3:64" s="41" customFormat="1" ht="12.75" customHeight="1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56"/>
      <c r="T81" s="56"/>
      <c r="U81" s="14"/>
      <c r="V81" s="14"/>
      <c r="W81" s="14"/>
      <c r="X81" s="14"/>
      <c r="Y81" s="56"/>
      <c r="Z81" s="14"/>
      <c r="AA81" s="14"/>
      <c r="AB81" s="14"/>
      <c r="AC81" s="14"/>
      <c r="AD81" s="56"/>
      <c r="AE81" s="14"/>
      <c r="AF81" s="14"/>
      <c r="AG81" s="14"/>
      <c r="AH81" s="14"/>
      <c r="AI81" s="56"/>
      <c r="AJ81" s="14"/>
      <c r="AK81" s="14"/>
      <c r="AL81" s="14"/>
      <c r="AM81" s="14"/>
      <c r="AN81" s="56"/>
      <c r="AO81" s="14"/>
      <c r="AP81" s="14"/>
      <c r="AQ81" s="14"/>
      <c r="AR81" s="14"/>
      <c r="AS81" s="56"/>
      <c r="AT81" s="14"/>
      <c r="AU81" s="14"/>
      <c r="AV81" s="14"/>
      <c r="AW81" s="14"/>
      <c r="AX81" s="56"/>
      <c r="AY81" s="58"/>
      <c r="AZ81" s="58"/>
      <c r="BA81" s="58"/>
      <c r="BB81" s="58"/>
      <c r="BC81" s="57"/>
      <c r="BD81" s="58"/>
      <c r="BE81" s="58"/>
      <c r="BF81" s="58"/>
      <c r="BG81" s="58"/>
      <c r="BH81" s="57"/>
      <c r="BI81" s="57"/>
      <c r="BJ81" s="57"/>
      <c r="BK81" s="57"/>
      <c r="BL81" s="57"/>
    </row>
    <row r="82" spans="3:64" s="41" customFormat="1" ht="12.75" customHeight="1">
      <c r="C82" s="84" t="s">
        <v>277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39">
        <v>0</v>
      </c>
      <c r="V82" s="39">
        <v>0</v>
      </c>
      <c r="W82" s="39">
        <v>0</v>
      </c>
      <c r="X82" s="39">
        <v>0</v>
      </c>
      <c r="Y82" s="50">
        <f t="shared" ref="Y82:Y83" si="248">SUM(U82:X82)</f>
        <v>0</v>
      </c>
      <c r="Z82" s="39">
        <v>0</v>
      </c>
      <c r="AA82" s="39">
        <v>-1</v>
      </c>
      <c r="AB82" s="39">
        <v>0</v>
      </c>
      <c r="AC82" s="39">
        <v>0</v>
      </c>
      <c r="AD82" s="50">
        <f t="shared" ref="AD82:AD83" si="249">SUM(Z82:AC82)</f>
        <v>-1</v>
      </c>
      <c r="AE82" s="39">
        <v>-2</v>
      </c>
      <c r="AF82" s="39">
        <v>-4</v>
      </c>
      <c r="AG82" s="39">
        <v>-6</v>
      </c>
      <c r="AH82" s="39">
        <v>0</v>
      </c>
      <c r="AI82" s="50">
        <f t="shared" ref="AI82:AI83" si="250">SUM(AE82:AH82)</f>
        <v>-12</v>
      </c>
      <c r="AJ82" s="39">
        <v>-1</v>
      </c>
      <c r="AK82" s="39">
        <v>-1</v>
      </c>
      <c r="AL82" s="39">
        <v>-1</v>
      </c>
      <c r="AM82" s="39">
        <v>0</v>
      </c>
      <c r="AN82" s="50">
        <f t="shared" ref="AN82:AN83" si="251">SUM(AJ82:AM82)</f>
        <v>-3</v>
      </c>
      <c r="AO82" s="39">
        <v>-4</v>
      </c>
      <c r="AP82" s="39">
        <v>-4</v>
      </c>
      <c r="AQ82" s="39">
        <v>-6</v>
      </c>
      <c r="AR82" s="39">
        <v>-2</v>
      </c>
      <c r="AS82" s="50">
        <f t="shared" ref="AS82:AS86" si="252">SUM(AO82:AR82)</f>
        <v>-16</v>
      </c>
      <c r="AT82" s="39">
        <v>0</v>
      </c>
      <c r="AU82" s="39">
        <v>-3</v>
      </c>
      <c r="AV82" s="39">
        <v>-5</v>
      </c>
      <c r="AW82" s="39">
        <v>-2</v>
      </c>
      <c r="AX82" s="50">
        <f t="shared" ref="AX82:AX86" si="253">SUM(AT82:AW82)</f>
        <v>-10</v>
      </c>
      <c r="AY82" s="67">
        <v>0</v>
      </c>
      <c r="AZ82" s="67">
        <v>0</v>
      </c>
      <c r="BA82" s="67">
        <v>0</v>
      </c>
      <c r="BB82" s="67">
        <v>0</v>
      </c>
      <c r="BC82" s="50">
        <f t="shared" ref="BC82:BC83" si="254">SUM(AY82:BB82)</f>
        <v>0</v>
      </c>
      <c r="BD82" s="67">
        <v>0</v>
      </c>
      <c r="BE82" s="67">
        <v>0</v>
      </c>
      <c r="BF82" s="67">
        <v>0</v>
      </c>
      <c r="BG82" s="67">
        <v>0</v>
      </c>
      <c r="BH82" s="50">
        <f t="shared" ref="BH82:BH83" si="255">SUM(BD82:BG82)</f>
        <v>0</v>
      </c>
      <c r="BI82" s="68">
        <v>0</v>
      </c>
      <c r="BJ82" s="68">
        <v>0</v>
      </c>
      <c r="BK82" s="68">
        <v>0</v>
      </c>
      <c r="BL82" s="68">
        <v>0</v>
      </c>
    </row>
    <row r="83" spans="3:64" s="41" customFormat="1" ht="12.75" customHeight="1">
      <c r="C83" s="84" t="s">
        <v>278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39">
        <v>0</v>
      </c>
      <c r="V83" s="39">
        <v>0</v>
      </c>
      <c r="W83" s="39">
        <v>0</v>
      </c>
      <c r="X83" s="39">
        <v>0</v>
      </c>
      <c r="Y83" s="50">
        <f t="shared" si="248"/>
        <v>0</v>
      </c>
      <c r="Z83" s="39">
        <v>0</v>
      </c>
      <c r="AA83" s="39">
        <v>1</v>
      </c>
      <c r="AB83" s="39">
        <v>0</v>
      </c>
      <c r="AC83" s="39">
        <v>0</v>
      </c>
      <c r="AD83" s="50">
        <f t="shared" si="249"/>
        <v>1</v>
      </c>
      <c r="AE83" s="39">
        <v>0</v>
      </c>
      <c r="AF83" s="39">
        <v>1</v>
      </c>
      <c r="AG83" s="39">
        <v>1</v>
      </c>
      <c r="AH83" s="39">
        <v>0</v>
      </c>
      <c r="AI83" s="50">
        <f t="shared" si="250"/>
        <v>2</v>
      </c>
      <c r="AJ83" s="39">
        <v>1</v>
      </c>
      <c r="AK83" s="39">
        <v>0</v>
      </c>
      <c r="AL83" s="39">
        <v>1</v>
      </c>
      <c r="AM83" s="39">
        <v>0</v>
      </c>
      <c r="AN83" s="50">
        <f t="shared" si="251"/>
        <v>2</v>
      </c>
      <c r="AO83" s="39">
        <v>0</v>
      </c>
      <c r="AP83" s="39">
        <v>-1</v>
      </c>
      <c r="AQ83" s="39">
        <v>-1</v>
      </c>
      <c r="AR83" s="39">
        <v>0</v>
      </c>
      <c r="AS83" s="50">
        <f t="shared" si="252"/>
        <v>-2</v>
      </c>
      <c r="AT83" s="39">
        <v>0</v>
      </c>
      <c r="AU83" s="39">
        <v>-1</v>
      </c>
      <c r="AV83" s="39">
        <v>0</v>
      </c>
      <c r="AW83" s="39">
        <v>0</v>
      </c>
      <c r="AX83" s="50">
        <f t="shared" si="253"/>
        <v>-1</v>
      </c>
      <c r="AY83" s="67">
        <v>0</v>
      </c>
      <c r="AZ83" s="67">
        <v>0</v>
      </c>
      <c r="BA83" s="67">
        <v>0</v>
      </c>
      <c r="BB83" s="67">
        <v>0</v>
      </c>
      <c r="BC83" s="50">
        <f t="shared" si="254"/>
        <v>0</v>
      </c>
      <c r="BD83" s="67">
        <v>0</v>
      </c>
      <c r="BE83" s="67">
        <v>0</v>
      </c>
      <c r="BF83" s="67">
        <v>0</v>
      </c>
      <c r="BG83" s="67">
        <v>0</v>
      </c>
      <c r="BH83" s="50">
        <f t="shared" si="255"/>
        <v>0</v>
      </c>
      <c r="BI83" s="68">
        <v>0</v>
      </c>
      <c r="BJ83" s="68">
        <v>0</v>
      </c>
      <c r="BK83" s="68">
        <v>0</v>
      </c>
      <c r="BL83" s="68">
        <v>0</v>
      </c>
    </row>
    <row r="84" spans="3:64" s="41" customFormat="1" ht="12.75" customHeight="1">
      <c r="C84" s="84" t="s">
        <v>275</v>
      </c>
      <c r="E84" s="48">
        <v>365</v>
      </c>
      <c r="F84" s="48">
        <v>365</v>
      </c>
      <c r="G84" s="48">
        <v>365</v>
      </c>
      <c r="H84" s="48">
        <v>365</v>
      </c>
      <c r="I84" s="48">
        <v>365</v>
      </c>
      <c r="J84" s="48">
        <v>365</v>
      </c>
      <c r="K84" s="48">
        <v>365</v>
      </c>
      <c r="L84" s="48">
        <v>365</v>
      </c>
      <c r="M84" s="48">
        <v>365</v>
      </c>
      <c r="N84" s="48">
        <v>365</v>
      </c>
      <c r="O84" s="48">
        <v>365</v>
      </c>
      <c r="P84" s="48">
        <v>365</v>
      </c>
      <c r="Q84" s="48">
        <v>365</v>
      </c>
      <c r="R84" s="48">
        <v>365</v>
      </c>
      <c r="S84" s="48">
        <v>365</v>
      </c>
      <c r="T84" s="48">
        <v>365</v>
      </c>
      <c r="U84" s="39">
        <v>91</v>
      </c>
      <c r="V84" s="39">
        <v>91</v>
      </c>
      <c r="W84" s="39">
        <v>92</v>
      </c>
      <c r="X84" s="39">
        <v>92</v>
      </c>
      <c r="Y84" s="50">
        <f>SUM(U84:X84)</f>
        <v>366</v>
      </c>
      <c r="Z84" s="39">
        <v>90</v>
      </c>
      <c r="AA84" s="39">
        <v>91</v>
      </c>
      <c r="AB84" s="39">
        <v>92</v>
      </c>
      <c r="AC84" s="39">
        <v>92</v>
      </c>
      <c r="AD84" s="50">
        <f>SUM(Z84:AC84)</f>
        <v>365</v>
      </c>
      <c r="AE84" s="39">
        <v>90</v>
      </c>
      <c r="AF84" s="39">
        <v>91</v>
      </c>
      <c r="AG84" s="39">
        <v>92</v>
      </c>
      <c r="AH84" s="39">
        <v>92</v>
      </c>
      <c r="AI84" s="50">
        <f>SUM(AE84:AH84)</f>
        <v>365</v>
      </c>
      <c r="AJ84" s="39">
        <v>90</v>
      </c>
      <c r="AK84" s="39">
        <v>91</v>
      </c>
      <c r="AL84" s="39">
        <v>92</v>
      </c>
      <c r="AM84" s="39">
        <v>92</v>
      </c>
      <c r="AN84" s="50">
        <f>SUM(AJ84:AM84)</f>
        <v>365</v>
      </c>
      <c r="AO84" s="39">
        <v>91</v>
      </c>
      <c r="AP84" s="39">
        <v>91</v>
      </c>
      <c r="AQ84" s="39">
        <v>92</v>
      </c>
      <c r="AR84" s="39">
        <v>92</v>
      </c>
      <c r="AS84" s="50">
        <f>SUM(AO84:AR84)</f>
        <v>366</v>
      </c>
      <c r="AT84" s="39">
        <v>90</v>
      </c>
      <c r="AU84" s="39">
        <v>91</v>
      </c>
      <c r="AV84" s="39">
        <v>92</v>
      </c>
      <c r="AW84" s="39">
        <v>92</v>
      </c>
      <c r="AX84" s="50">
        <f>SUM(AT84:AW84)</f>
        <v>365</v>
      </c>
      <c r="AY84" s="67">
        <v>90</v>
      </c>
      <c r="AZ84" s="67">
        <v>91</v>
      </c>
      <c r="BA84" s="67">
        <v>92</v>
      </c>
      <c r="BB84" s="67">
        <v>92</v>
      </c>
      <c r="BC84" s="50">
        <f>SUM(AY84:BB84)</f>
        <v>365</v>
      </c>
      <c r="BD84" s="67">
        <v>90</v>
      </c>
      <c r="BE84" s="67">
        <v>91</v>
      </c>
      <c r="BF84" s="67">
        <v>92</v>
      </c>
      <c r="BG84" s="67">
        <v>92</v>
      </c>
      <c r="BH84" s="50">
        <f>SUM(BD84:BG84)</f>
        <v>365</v>
      </c>
      <c r="BI84" s="68">
        <v>366</v>
      </c>
      <c r="BJ84" s="68">
        <v>365</v>
      </c>
      <c r="BK84" s="68">
        <v>365</v>
      </c>
      <c r="BL84" s="68">
        <v>365</v>
      </c>
    </row>
    <row r="85" spans="3:64" s="41" customFormat="1" ht="12.75" customHeight="1">
      <c r="C85" s="84" t="s">
        <v>276</v>
      </c>
      <c r="E85" s="83">
        <f t="shared" ref="E85:Q85" si="256">E84*E88/1000</f>
        <v>176915.5</v>
      </c>
      <c r="F85" s="83">
        <f t="shared" si="256"/>
        <v>176915.5</v>
      </c>
      <c r="G85" s="83">
        <f t="shared" si="256"/>
        <v>176915.5</v>
      </c>
      <c r="H85" s="83">
        <f t="shared" si="256"/>
        <v>176915.5</v>
      </c>
      <c r="I85" s="83">
        <f t="shared" si="256"/>
        <v>176915.5</v>
      </c>
      <c r="J85" s="83">
        <f t="shared" si="256"/>
        <v>176915.5</v>
      </c>
      <c r="K85" s="83">
        <f t="shared" si="256"/>
        <v>176915.5</v>
      </c>
      <c r="L85" s="83">
        <f t="shared" si="256"/>
        <v>176915.5</v>
      </c>
      <c r="M85" s="83">
        <f t="shared" si="256"/>
        <v>176915.5</v>
      </c>
      <c r="N85" s="83">
        <f t="shared" si="256"/>
        <v>176915.5</v>
      </c>
      <c r="O85" s="83">
        <f t="shared" si="256"/>
        <v>176915.5</v>
      </c>
      <c r="P85" s="83">
        <f t="shared" si="256"/>
        <v>176915.5</v>
      </c>
      <c r="Q85" s="83">
        <f t="shared" si="256"/>
        <v>176915.5</v>
      </c>
      <c r="R85" s="83">
        <f t="shared" ref="R85:X85" si="257">R84*R88/1000</f>
        <v>176915.5</v>
      </c>
      <c r="S85" s="83">
        <f t="shared" si="257"/>
        <v>185018.5</v>
      </c>
      <c r="T85" s="83">
        <f t="shared" si="257"/>
        <v>195230.83499999999</v>
      </c>
      <c r="U85" s="82">
        <f t="shared" si="257"/>
        <v>47190.78</v>
      </c>
      <c r="V85" s="82">
        <f t="shared" si="257"/>
        <v>45751.432999999997</v>
      </c>
      <c r="W85" s="82">
        <f t="shared" si="257"/>
        <v>34632.756000000001</v>
      </c>
      <c r="X85" s="82">
        <f t="shared" si="257"/>
        <v>27432.835999999999</v>
      </c>
      <c r="Y85" s="50">
        <f t="shared" ref="Y85:Y86" si="258">SUM(U85:X85)</f>
        <v>155007.80499999999</v>
      </c>
      <c r="Z85" s="82">
        <f>Z84*Z88/1000</f>
        <v>26677.08</v>
      </c>
      <c r="AA85" s="82">
        <f t="shared" ref="AA85:AC85" si="259">AA84*AA88/1000</f>
        <v>31317.65</v>
      </c>
      <c r="AB85" s="82">
        <f t="shared" si="259"/>
        <v>34253.991999999998</v>
      </c>
      <c r="AC85" s="82">
        <f t="shared" si="259"/>
        <v>33895.928</v>
      </c>
      <c r="AD85" s="50">
        <f t="shared" ref="AD85:AD86" si="260">SUM(Z85:AC85)</f>
        <v>126144.65000000001</v>
      </c>
      <c r="AE85" s="82">
        <f>AE84*AE88/1000</f>
        <v>33583.769999999997</v>
      </c>
      <c r="AF85" s="82">
        <f>AF84*AF88/1000</f>
        <v>36362.508000000002</v>
      </c>
      <c r="AG85" s="82">
        <f>AG84*AG88/1000</f>
        <v>36568.896000000001</v>
      </c>
      <c r="AH85" s="82">
        <f>AH84*AH88/1000</f>
        <v>34106.516000000003</v>
      </c>
      <c r="AI85" s="50">
        <f t="shared" ref="AI85:AI86" si="261">SUM(AE85:AH85)</f>
        <v>140621.69</v>
      </c>
      <c r="AJ85" s="82">
        <f>AJ84*AJ88/1000</f>
        <v>35416.080000000002</v>
      </c>
      <c r="AK85" s="82">
        <f t="shared" ref="AK85:AM85" si="262">AK84*AK88/1000</f>
        <v>39304.811000000002</v>
      </c>
      <c r="AL85" s="82">
        <f t="shared" si="262"/>
        <v>40696.476000000002</v>
      </c>
      <c r="AM85" s="82">
        <f t="shared" si="262"/>
        <v>38838.26</v>
      </c>
      <c r="AN85" s="50">
        <f t="shared" ref="AN85:AN86" si="263">SUM(AJ85:AM85)</f>
        <v>154255.62700000001</v>
      </c>
      <c r="AO85" s="82">
        <f>AO84*AO88/1000</f>
        <v>39477.892999999996</v>
      </c>
      <c r="AP85" s="82">
        <f>AP84*AP88/1000</f>
        <v>39974.843999999997</v>
      </c>
      <c r="AQ85" s="82">
        <f>AQ84*AQ88/1000</f>
        <v>39799.936000000002</v>
      </c>
      <c r="AR85" s="82">
        <f>AR84*AR88/1000</f>
        <v>36793.284</v>
      </c>
      <c r="AS85" s="50">
        <f t="shared" si="252"/>
        <v>156045.95699999999</v>
      </c>
      <c r="AT85" s="82">
        <f>AT84*AT88/1000</f>
        <v>34808.129999999997</v>
      </c>
      <c r="AU85" s="82">
        <f t="shared" ref="AU85:BL85" si="264">AU84*AU88/1000</f>
        <v>37067.576000000001</v>
      </c>
      <c r="AV85" s="82">
        <f t="shared" si="264"/>
        <v>37648.423999999999</v>
      </c>
      <c r="AW85" s="82">
        <f t="shared" si="264"/>
        <v>36625.752</v>
      </c>
      <c r="AX85" s="50">
        <f t="shared" si="253"/>
        <v>146149.88200000001</v>
      </c>
      <c r="AY85" s="82">
        <f t="shared" si="264"/>
        <v>35156.211299999995</v>
      </c>
      <c r="AZ85" s="82">
        <f t="shared" si="264"/>
        <v>37438.251759999999</v>
      </c>
      <c r="BA85" s="82">
        <f t="shared" si="264"/>
        <v>38401.392479999995</v>
      </c>
      <c r="BB85" s="82">
        <f t="shared" si="264"/>
        <v>37358.267039999999</v>
      </c>
      <c r="BC85" s="50">
        <f t="shared" ref="BC85:BC86" si="265">SUM(AY85:BB85)</f>
        <v>148354.12258</v>
      </c>
      <c r="BD85" s="82">
        <f t="shared" si="264"/>
        <v>35859.335526000003</v>
      </c>
      <c r="BE85" s="82">
        <f t="shared" si="264"/>
        <v>38187.016795199997</v>
      </c>
      <c r="BF85" s="82">
        <f t="shared" si="264"/>
        <v>39169.420329599998</v>
      </c>
      <c r="BG85" s="82">
        <f t="shared" si="264"/>
        <v>38105.432380800004</v>
      </c>
      <c r="BH85" s="50">
        <f t="shared" ref="BH85:BH86" si="266">SUM(BD85:BG85)</f>
        <v>151321.20503160002</v>
      </c>
      <c r="BI85" s="50">
        <f t="shared" si="264"/>
        <v>154742.88151913401</v>
      </c>
      <c r="BJ85" s="50">
        <f t="shared" si="264"/>
        <v>157406.48849610271</v>
      </c>
      <c r="BK85" s="50">
        <f t="shared" si="264"/>
        <v>160554.61826602477</v>
      </c>
      <c r="BL85" s="50">
        <f t="shared" si="264"/>
        <v>163765.71063134528</v>
      </c>
    </row>
    <row r="86" spans="3:64" s="41" customFormat="1" ht="12.75" customHeight="1">
      <c r="C86" s="84" t="s">
        <v>268</v>
      </c>
      <c r="E86" s="48">
        <v>140382</v>
      </c>
      <c r="F86" s="48">
        <v>140382</v>
      </c>
      <c r="G86" s="48">
        <v>140382</v>
      </c>
      <c r="H86" s="48">
        <v>140382</v>
      </c>
      <c r="I86" s="48">
        <v>140382</v>
      </c>
      <c r="J86" s="48">
        <v>140382</v>
      </c>
      <c r="K86" s="48">
        <v>140382</v>
      </c>
      <c r="L86" s="48">
        <v>140382</v>
      </c>
      <c r="M86" s="48">
        <v>140382</v>
      </c>
      <c r="N86" s="48">
        <v>140382</v>
      </c>
      <c r="O86" s="48">
        <v>140382</v>
      </c>
      <c r="P86" s="48">
        <v>140382</v>
      </c>
      <c r="Q86" s="48">
        <v>140382</v>
      </c>
      <c r="R86" s="48">
        <v>140382</v>
      </c>
      <c r="S86" s="48">
        <v>149463</v>
      </c>
      <c r="T86" s="48">
        <v>155859</v>
      </c>
      <c r="U86" s="39">
        <v>31564</v>
      </c>
      <c r="V86" s="39">
        <v>12964</v>
      </c>
      <c r="W86" s="39">
        <v>17971</v>
      </c>
      <c r="X86" s="39">
        <v>20178</v>
      </c>
      <c r="Y86" s="50">
        <f t="shared" si="258"/>
        <v>82677</v>
      </c>
      <c r="Z86" s="39">
        <v>20251</v>
      </c>
      <c r="AA86" s="39">
        <v>24992</v>
      </c>
      <c r="AB86" s="39">
        <v>27627</v>
      </c>
      <c r="AC86" s="39">
        <v>27215</v>
      </c>
      <c r="AD86" s="50">
        <f t="shared" si="260"/>
        <v>100085</v>
      </c>
      <c r="AE86" s="39">
        <v>25579</v>
      </c>
      <c r="AF86" s="39">
        <v>29160</v>
      </c>
      <c r="AG86" s="39">
        <v>29653</v>
      </c>
      <c r="AH86" s="39">
        <v>27367</v>
      </c>
      <c r="AI86" s="50">
        <f t="shared" si="261"/>
        <v>111759</v>
      </c>
      <c r="AJ86" s="39">
        <v>27879</v>
      </c>
      <c r="AK86" s="39">
        <v>32469</v>
      </c>
      <c r="AL86" s="39">
        <v>34278</v>
      </c>
      <c r="AM86" s="39">
        <v>30589</v>
      </c>
      <c r="AN86" s="50">
        <f t="shared" si="263"/>
        <v>125215</v>
      </c>
      <c r="AO86" s="39">
        <v>30560</v>
      </c>
      <c r="AP86" s="39">
        <v>32216</v>
      </c>
      <c r="AQ86" s="39">
        <v>32693</v>
      </c>
      <c r="AR86" s="39">
        <v>29298</v>
      </c>
      <c r="AS86" s="50">
        <f t="shared" si="252"/>
        <v>124767</v>
      </c>
      <c r="AT86" s="39">
        <v>27758</v>
      </c>
      <c r="AU86" s="39">
        <v>30935</v>
      </c>
      <c r="AV86" s="39">
        <v>31923</v>
      </c>
      <c r="AW86" s="39">
        <v>28857</v>
      </c>
      <c r="AX86" s="50">
        <f t="shared" si="253"/>
        <v>119473</v>
      </c>
      <c r="AY86" s="82">
        <f>AY85*AY89</f>
        <v>28387.142112999998</v>
      </c>
      <c r="AZ86" s="82">
        <f t="shared" ref="AZ86:BB86" si="267">AZ85*AZ89</f>
        <v>31618.732517599998</v>
      </c>
      <c r="BA86" s="82">
        <f t="shared" si="267"/>
        <v>32945.473924799997</v>
      </c>
      <c r="BB86" s="82">
        <f t="shared" si="267"/>
        <v>29807.722670399999</v>
      </c>
      <c r="BC86" s="50">
        <f t="shared" si="265"/>
        <v>122759.0712258</v>
      </c>
      <c r="BD86" s="82">
        <f>BD85*BD89</f>
        <v>28954.884955260004</v>
      </c>
      <c r="BE86" s="82">
        <f t="shared" ref="BE86" si="268">BE85*BE89</f>
        <v>32251.107167951996</v>
      </c>
      <c r="BF86" s="82">
        <f t="shared" ref="BF86" si="269">BF85*BF89</f>
        <v>33604.383403296</v>
      </c>
      <c r="BG86" s="82">
        <f t="shared" ref="BG86" si="270">BG85*BG89</f>
        <v>30403.877123808004</v>
      </c>
      <c r="BH86" s="50">
        <f t="shared" si="266"/>
        <v>125214.252650316</v>
      </c>
      <c r="BI86" s="50">
        <f t="shared" ref="BI86" si="271">BI85*BI89</f>
        <v>128045.59848917749</v>
      </c>
      <c r="BJ86" s="50">
        <f t="shared" ref="BJ86" si="272">BJ85*BJ89</f>
        <v>130249.6620697289</v>
      </c>
      <c r="BK86" s="50">
        <f t="shared" ref="BK86" si="273">BK85*BK89</f>
        <v>132854.6553111235</v>
      </c>
      <c r="BL86" s="50">
        <f t="shared" ref="BL86" si="274">BL85*BL89</f>
        <v>135511.74841734598</v>
      </c>
    </row>
    <row r="87" spans="3:64" s="41" customFormat="1" ht="12.75" customHeight="1">
      <c r="C87" s="84" t="s">
        <v>269</v>
      </c>
      <c r="E87" s="48">
        <v>484700</v>
      </c>
      <c r="F87" s="48">
        <v>484700</v>
      </c>
      <c r="G87" s="48">
        <v>484700</v>
      </c>
      <c r="H87" s="48">
        <v>484700</v>
      </c>
      <c r="I87" s="48">
        <v>484700</v>
      </c>
      <c r="J87" s="48">
        <v>484700</v>
      </c>
      <c r="K87" s="48">
        <v>484700</v>
      </c>
      <c r="L87" s="48">
        <v>484700</v>
      </c>
      <c r="M87" s="48">
        <v>484700</v>
      </c>
      <c r="N87" s="48">
        <v>484700</v>
      </c>
      <c r="O87" s="48">
        <v>484700</v>
      </c>
      <c r="P87" s="48">
        <v>484700</v>
      </c>
      <c r="Q87" s="48">
        <v>484700</v>
      </c>
      <c r="R87" s="48">
        <v>484700</v>
      </c>
      <c r="S87" s="48">
        <v>506900</v>
      </c>
      <c r="T87" s="48">
        <v>534879</v>
      </c>
      <c r="U87" s="39">
        <v>518580</v>
      </c>
      <c r="V87" s="39">
        <v>502763</v>
      </c>
      <c r="W87" s="39">
        <v>376443</v>
      </c>
      <c r="X87" s="39">
        <v>298183</v>
      </c>
      <c r="Y87" s="50">
        <f>AVERAGE(U87:X87)</f>
        <v>423992.25</v>
      </c>
      <c r="Z87" s="39">
        <v>300606</v>
      </c>
      <c r="AA87" s="39">
        <v>350122</v>
      </c>
      <c r="AB87" s="39">
        <v>387368</v>
      </c>
      <c r="AC87" s="39">
        <v>384492</v>
      </c>
      <c r="AD87" s="50">
        <f>AVERAGE(Z87:AC87)</f>
        <v>355647</v>
      </c>
      <c r="AE87" s="39">
        <v>397620</v>
      </c>
      <c r="AF87" s="39">
        <v>422113</v>
      </c>
      <c r="AG87" s="39">
        <v>425596</v>
      </c>
      <c r="AH87" s="39">
        <v>398860</v>
      </c>
      <c r="AI87" s="50">
        <f>AVERAGE(AE87:AH87)</f>
        <v>411047.25</v>
      </c>
      <c r="AJ87" s="39">
        <v>412983</v>
      </c>
      <c r="AK87" s="39">
        <v>457405</v>
      </c>
      <c r="AL87" s="39">
        <v>467916</v>
      </c>
      <c r="AM87" s="39">
        <v>446573</v>
      </c>
      <c r="AN87" s="50">
        <f>AVERAGE(AJ87:AM87)</f>
        <v>446219.25</v>
      </c>
      <c r="AO87" s="39">
        <v>450585</v>
      </c>
      <c r="AP87" s="39">
        <v>467863</v>
      </c>
      <c r="AQ87" s="39">
        <v>463467</v>
      </c>
      <c r="AR87" s="39">
        <v>432909</v>
      </c>
      <c r="AS87" s="50">
        <f>AVERAGE(AO87:AR87)</f>
        <v>453706</v>
      </c>
      <c r="AT87" s="39">
        <v>413381</v>
      </c>
      <c r="AU87" s="39">
        <v>435737</v>
      </c>
      <c r="AV87" s="39">
        <v>425004</v>
      </c>
      <c r="AW87" s="39">
        <v>415264</v>
      </c>
      <c r="AX87" s="50">
        <f>AVERAGE(AT87:AW87)</f>
        <v>422346.5</v>
      </c>
      <c r="AY87" s="82">
        <f>AT87/AT88*AY88</f>
        <v>417514.81</v>
      </c>
      <c r="AZ87" s="82">
        <f t="shared" ref="AZ87:BB87" si="275">AU87/AU88*AZ88</f>
        <v>440094.37</v>
      </c>
      <c r="BA87" s="82">
        <f t="shared" si="275"/>
        <v>433504.08</v>
      </c>
      <c r="BB87" s="82">
        <f t="shared" si="275"/>
        <v>423569.27999999997</v>
      </c>
      <c r="BC87" s="50">
        <f>AVERAGE(AY87:BB87)</f>
        <v>428670.63500000001</v>
      </c>
      <c r="BD87" s="82">
        <f>AY87/AY88*BD88</f>
        <v>425865.10619999998</v>
      </c>
      <c r="BE87" s="82">
        <f t="shared" ref="BE87" si="276">AZ87/AZ88*BE88</f>
        <v>448896.2574</v>
      </c>
      <c r="BF87" s="82">
        <f t="shared" ref="BF87" si="277">BA87/BA88*BF88</f>
        <v>442174.16160000005</v>
      </c>
      <c r="BG87" s="82">
        <f t="shared" ref="BG87" si="278">BB87/BB88*BG88</f>
        <v>432040.66559999995</v>
      </c>
      <c r="BH87" s="50">
        <f>AVERAGE(BD87:BG87)</f>
        <v>437244.0477</v>
      </c>
      <c r="BI87" s="50">
        <f>BH87/BH88*BI88</f>
        <v>445988.92865400005</v>
      </c>
      <c r="BJ87" s="50">
        <f t="shared" ref="BJ87:BL87" si="279">BI87/BI88*BJ88</f>
        <v>454908.70722708007</v>
      </c>
      <c r="BK87" s="50">
        <f t="shared" si="279"/>
        <v>464006.88137162168</v>
      </c>
      <c r="BL87" s="50">
        <f t="shared" si="279"/>
        <v>473287.0189990541</v>
      </c>
    </row>
    <row r="88" spans="3:64" s="41" customFormat="1" ht="12.75" customHeight="1">
      <c r="C88" s="84" t="s">
        <v>270</v>
      </c>
      <c r="E88" s="48">
        <v>484700</v>
      </c>
      <c r="F88" s="48">
        <v>484700</v>
      </c>
      <c r="G88" s="48">
        <v>484700</v>
      </c>
      <c r="H88" s="48">
        <v>484700</v>
      </c>
      <c r="I88" s="48">
        <v>484700</v>
      </c>
      <c r="J88" s="48">
        <v>484700</v>
      </c>
      <c r="K88" s="48">
        <v>484700</v>
      </c>
      <c r="L88" s="48">
        <v>484700</v>
      </c>
      <c r="M88" s="48">
        <v>484700</v>
      </c>
      <c r="N88" s="48">
        <v>484700</v>
      </c>
      <c r="O88" s="48">
        <v>484700</v>
      </c>
      <c r="P88" s="48">
        <v>484700</v>
      </c>
      <c r="Q88" s="48">
        <v>484700</v>
      </c>
      <c r="R88" s="48">
        <v>484700</v>
      </c>
      <c r="S88" s="48">
        <v>506900</v>
      </c>
      <c r="T88" s="48">
        <v>534879</v>
      </c>
      <c r="U88" s="39">
        <v>518580</v>
      </c>
      <c r="V88" s="39">
        <v>502763</v>
      </c>
      <c r="W88" s="39">
        <v>376443</v>
      </c>
      <c r="X88" s="39">
        <v>298183</v>
      </c>
      <c r="Y88" s="50">
        <f>AVERAGE(U88:X88)</f>
        <v>423992.25</v>
      </c>
      <c r="Z88" s="39">
        <v>296412</v>
      </c>
      <c r="AA88" s="39">
        <v>344150</v>
      </c>
      <c r="AB88" s="39">
        <v>372326</v>
      </c>
      <c r="AC88" s="39">
        <v>368434</v>
      </c>
      <c r="AD88" s="50">
        <f>AVERAGE(Z88:AC88)</f>
        <v>345330.5</v>
      </c>
      <c r="AE88" s="39">
        <v>373153</v>
      </c>
      <c r="AF88" s="39">
        <v>399588</v>
      </c>
      <c r="AG88" s="39">
        <v>397488</v>
      </c>
      <c r="AH88" s="39">
        <v>370723</v>
      </c>
      <c r="AI88" s="50">
        <f>AVERAGE(AE88:AH88)</f>
        <v>385238</v>
      </c>
      <c r="AJ88" s="39">
        <v>393512</v>
      </c>
      <c r="AK88" s="39">
        <v>431921</v>
      </c>
      <c r="AL88" s="39">
        <v>442353</v>
      </c>
      <c r="AM88" s="39">
        <v>422155</v>
      </c>
      <c r="AN88" s="50">
        <f>AVERAGE(AJ88:AM88)</f>
        <v>422485.25</v>
      </c>
      <c r="AO88" s="39">
        <v>433823</v>
      </c>
      <c r="AP88" s="39">
        <v>439284</v>
      </c>
      <c r="AQ88" s="39">
        <v>432608</v>
      </c>
      <c r="AR88" s="39">
        <v>399927</v>
      </c>
      <c r="AS88" s="50">
        <f>AVERAGE(AO88:AR88)</f>
        <v>426410.5</v>
      </c>
      <c r="AT88" s="39">
        <v>386757</v>
      </c>
      <c r="AU88" s="39">
        <v>407336</v>
      </c>
      <c r="AV88" s="39">
        <v>409222</v>
      </c>
      <c r="AW88" s="39">
        <v>398106</v>
      </c>
      <c r="AX88" s="50">
        <f>AVERAGE(AT88:AW88)</f>
        <v>400355.25</v>
      </c>
      <c r="AY88" s="82">
        <f>AT88*(1+AY104)</f>
        <v>390624.57</v>
      </c>
      <c r="AZ88" s="82">
        <f t="shared" ref="AZ88" si="280">AU88*(1+AZ104)</f>
        <v>411409.36</v>
      </c>
      <c r="BA88" s="82">
        <f t="shared" ref="BA88" si="281">AV88*(1+BA104)</f>
        <v>417406.44</v>
      </c>
      <c r="BB88" s="82">
        <f t="shared" ref="BB88" si="282">AW88*(1+BB104)</f>
        <v>406068.12</v>
      </c>
      <c r="BC88" s="50">
        <f>AVERAGE(AY88:BB88)</f>
        <v>406377.12249999994</v>
      </c>
      <c r="BD88" s="82">
        <f>AY88*(1+BD104)</f>
        <v>398437.06140000001</v>
      </c>
      <c r="BE88" s="82">
        <f t="shared" ref="BE88" si="283">AZ88*(1+BE104)</f>
        <v>419637.54719999997</v>
      </c>
      <c r="BF88" s="82">
        <f t="shared" ref="BF88" si="284">BA88*(1+BF104)</f>
        <v>425754.56880000001</v>
      </c>
      <c r="BG88" s="82">
        <f t="shared" ref="BG88" si="285">BB88*(1+BG104)</f>
        <v>414189.48239999998</v>
      </c>
      <c r="BH88" s="50">
        <f>AVERAGE(BD88:BG88)</f>
        <v>414504.66495000001</v>
      </c>
      <c r="BI88" s="50">
        <f>BH88*(1+BI104)</f>
        <v>422794.75824900001</v>
      </c>
      <c r="BJ88" s="50">
        <f t="shared" ref="BJ88:BL88" si="286">BI88*(1+BJ104)</f>
        <v>431250.65341398004</v>
      </c>
      <c r="BK88" s="50">
        <f t="shared" si="286"/>
        <v>439875.66648225964</v>
      </c>
      <c r="BL88" s="50">
        <f t="shared" si="286"/>
        <v>448673.17981190485</v>
      </c>
    </row>
    <row r="89" spans="3:64" s="41" customFormat="1" ht="12.75" customHeight="1">
      <c r="C89" s="84" t="s">
        <v>271</v>
      </c>
      <c r="E89" s="109">
        <f t="shared" ref="E89:Q89" si="287">E86/E85</f>
        <v>0.79349746065211924</v>
      </c>
      <c r="F89" s="109">
        <f t="shared" si="287"/>
        <v>0.79349746065211924</v>
      </c>
      <c r="G89" s="109">
        <f t="shared" si="287"/>
        <v>0.79349746065211924</v>
      </c>
      <c r="H89" s="109">
        <f t="shared" si="287"/>
        <v>0.79349746065211924</v>
      </c>
      <c r="I89" s="109">
        <f t="shared" si="287"/>
        <v>0.79349746065211924</v>
      </c>
      <c r="J89" s="109">
        <f t="shared" si="287"/>
        <v>0.79349746065211924</v>
      </c>
      <c r="K89" s="109">
        <f t="shared" si="287"/>
        <v>0.79349746065211924</v>
      </c>
      <c r="L89" s="109">
        <f t="shared" si="287"/>
        <v>0.79349746065211924</v>
      </c>
      <c r="M89" s="109">
        <f t="shared" si="287"/>
        <v>0.79349746065211924</v>
      </c>
      <c r="N89" s="109">
        <f t="shared" si="287"/>
        <v>0.79349746065211924</v>
      </c>
      <c r="O89" s="109">
        <f t="shared" si="287"/>
        <v>0.79349746065211924</v>
      </c>
      <c r="P89" s="109">
        <f t="shared" si="287"/>
        <v>0.79349746065211924</v>
      </c>
      <c r="Q89" s="109">
        <f t="shared" si="287"/>
        <v>0.79349746065211924</v>
      </c>
      <c r="R89" s="109">
        <f t="shared" ref="R89:X89" si="288">R86/R85</f>
        <v>0.79349746065211924</v>
      </c>
      <c r="S89" s="109">
        <f t="shared" si="288"/>
        <v>0.80782732537557056</v>
      </c>
      <c r="T89" s="109">
        <f t="shared" si="288"/>
        <v>0.79833188235864483</v>
      </c>
      <c r="U89" s="110">
        <f t="shared" si="288"/>
        <v>0.6688594678875831</v>
      </c>
      <c r="V89" s="110">
        <f t="shared" si="288"/>
        <v>0.28335724478837637</v>
      </c>
      <c r="W89" s="110">
        <f t="shared" si="288"/>
        <v>0.51890181653461243</v>
      </c>
      <c r="X89" s="110">
        <f t="shared" si="288"/>
        <v>0.73554188856011826</v>
      </c>
      <c r="Y89" s="109">
        <f t="shared" ref="Y89" si="289">Y86/Y85</f>
        <v>0.53337314208145847</v>
      </c>
      <c r="Z89" s="110">
        <f>Z86/Z85</f>
        <v>0.7591160651765485</v>
      </c>
      <c r="AA89" s="110">
        <f t="shared" ref="AA89:AD89" si="290">AA86/AA85</f>
        <v>0.79801645398042309</v>
      </c>
      <c r="AB89" s="110">
        <f t="shared" si="290"/>
        <v>0.80653373189320532</v>
      </c>
      <c r="AC89" s="110">
        <f t="shared" si="290"/>
        <v>0.80289880247562484</v>
      </c>
      <c r="AD89" s="109">
        <f t="shared" si="290"/>
        <v>0.793414544334619</v>
      </c>
      <c r="AE89" s="110">
        <f>AE86/AE85</f>
        <v>0.76164766492862479</v>
      </c>
      <c r="AF89" s="110">
        <f>AF86/AF85</f>
        <v>0.80192488372914206</v>
      </c>
      <c r="AG89" s="110">
        <f>AG86/AG85</f>
        <v>0.81088037221577591</v>
      </c>
      <c r="AH89" s="110">
        <f>AH86/AH85</f>
        <v>0.80239799339223028</v>
      </c>
      <c r="AI89" s="109">
        <f t="shared" ref="AI89" si="291">AI86/AI85</f>
        <v>0.79474937330080442</v>
      </c>
      <c r="AJ89" s="110">
        <f>AJ86/AJ85</f>
        <v>0.78718480419063874</v>
      </c>
      <c r="AK89" s="110">
        <f t="shared" ref="AK89:AN89" si="292">AK86/AK85</f>
        <v>0.82608207936682354</v>
      </c>
      <c r="AL89" s="110">
        <f t="shared" si="292"/>
        <v>0.84228423119485818</v>
      </c>
      <c r="AM89" s="110">
        <f t="shared" si="292"/>
        <v>0.78759965044778002</v>
      </c>
      <c r="AN89" s="109">
        <f t="shared" si="292"/>
        <v>0.81173700068652921</v>
      </c>
      <c r="AO89" s="110">
        <f>AO86/AO85</f>
        <v>0.77410412962008901</v>
      </c>
      <c r="AP89" s="110">
        <f>AP86/AP85</f>
        <v>0.80590683480841108</v>
      </c>
      <c r="AQ89" s="110">
        <f>AQ86/AQ85</f>
        <v>0.82143348170208108</v>
      </c>
      <c r="AR89" s="110">
        <f>AR86/AR85</f>
        <v>0.79628662665719108</v>
      </c>
      <c r="AS89" s="109">
        <f t="shared" ref="AS89" si="293">AS86/AS85</f>
        <v>0.79955291632451586</v>
      </c>
      <c r="AT89" s="110">
        <f>AT86/AT85</f>
        <v>0.79745737561885688</v>
      </c>
      <c r="AU89" s="110">
        <f t="shared" ref="AU89:AW89" si="294">AU86/AU85</f>
        <v>0.83455686446828892</v>
      </c>
      <c r="AV89" s="110">
        <f t="shared" si="294"/>
        <v>0.84792393965813817</v>
      </c>
      <c r="AW89" s="110">
        <f t="shared" si="294"/>
        <v>0.78788825960488129</v>
      </c>
      <c r="AX89" s="109">
        <f t="shared" ref="AX89" si="295">AX86/AX85</f>
        <v>0.81746901444641595</v>
      </c>
      <c r="AY89" s="136">
        <f>AT89+0.01</f>
        <v>0.80745737561885689</v>
      </c>
      <c r="AZ89" s="136">
        <f t="shared" ref="AZ89:BB89" si="296">AU89+0.01</f>
        <v>0.84455686446828893</v>
      </c>
      <c r="BA89" s="136">
        <f t="shared" si="296"/>
        <v>0.85792393965813818</v>
      </c>
      <c r="BB89" s="136">
        <f t="shared" si="296"/>
        <v>0.7978882596048813</v>
      </c>
      <c r="BC89" s="109">
        <f t="shared" ref="BC89" si="297">BC86/BC85</f>
        <v>0.82747327199891019</v>
      </c>
      <c r="BD89" s="136">
        <f t="shared" ref="BD89:BG89" si="298">AY89</f>
        <v>0.80745737561885689</v>
      </c>
      <c r="BE89" s="136">
        <f t="shared" si="298"/>
        <v>0.84455686446828893</v>
      </c>
      <c r="BF89" s="136">
        <f t="shared" si="298"/>
        <v>0.85792393965813818</v>
      </c>
      <c r="BG89" s="136">
        <f t="shared" si="298"/>
        <v>0.7978882596048813</v>
      </c>
      <c r="BH89" s="109">
        <f t="shared" ref="BH89" si="299">BH86/BH85</f>
        <v>0.82747327199891008</v>
      </c>
      <c r="BI89" s="139">
        <f>BH89</f>
        <v>0.82747327199891008</v>
      </c>
      <c r="BJ89" s="139">
        <f t="shared" ref="BJ89:BL89" si="300">BI89</f>
        <v>0.82747327199891008</v>
      </c>
      <c r="BK89" s="139">
        <f t="shared" si="300"/>
        <v>0.82747327199891008</v>
      </c>
      <c r="BL89" s="139">
        <f t="shared" si="300"/>
        <v>0.82747327199891008</v>
      </c>
    </row>
    <row r="90" spans="3:64" s="41" customFormat="1" ht="12.75" customHeight="1">
      <c r="C90" s="84" t="s">
        <v>272</v>
      </c>
      <c r="E90" s="209">
        <f t="shared" ref="E90:Q90" si="301">(E79+E82)/E86*1000</f>
        <v>42.697781766893193</v>
      </c>
      <c r="F90" s="209">
        <f t="shared" si="301"/>
        <v>42.697781766893193</v>
      </c>
      <c r="G90" s="209">
        <f t="shared" si="301"/>
        <v>42.697781766893193</v>
      </c>
      <c r="H90" s="209">
        <f t="shared" si="301"/>
        <v>42.697781766893193</v>
      </c>
      <c r="I90" s="209">
        <f t="shared" si="301"/>
        <v>42.697781766893193</v>
      </c>
      <c r="J90" s="209">
        <f t="shared" si="301"/>
        <v>42.697781766893193</v>
      </c>
      <c r="K90" s="209">
        <f t="shared" si="301"/>
        <v>42.697781766893193</v>
      </c>
      <c r="L90" s="209">
        <f t="shared" si="301"/>
        <v>42.697781766893193</v>
      </c>
      <c r="M90" s="209">
        <f t="shared" si="301"/>
        <v>42.697781766893193</v>
      </c>
      <c r="N90" s="209">
        <f t="shared" si="301"/>
        <v>42.697781766893193</v>
      </c>
      <c r="O90" s="209">
        <f t="shared" si="301"/>
        <v>42.697781766893193</v>
      </c>
      <c r="P90" s="209">
        <f t="shared" si="301"/>
        <v>42.697781766893193</v>
      </c>
      <c r="Q90" s="209">
        <f t="shared" si="301"/>
        <v>42.697781766893193</v>
      </c>
      <c r="R90" s="209">
        <f t="shared" ref="R90:X90" si="302">(R79+R82)/R86*1000</f>
        <v>42.697781766893193</v>
      </c>
      <c r="S90" s="209">
        <f t="shared" si="302"/>
        <v>43.355211657734692</v>
      </c>
      <c r="T90" s="209">
        <f t="shared" si="302"/>
        <v>44.514593318319761</v>
      </c>
      <c r="U90" s="208">
        <f t="shared" si="302"/>
        <v>43.752376124699026</v>
      </c>
      <c r="V90" s="208">
        <f t="shared" si="302"/>
        <v>41.113853748842949</v>
      </c>
      <c r="W90" s="208">
        <f t="shared" si="302"/>
        <v>48.188748539313337</v>
      </c>
      <c r="X90" s="208">
        <f t="shared" si="302"/>
        <v>43.413618792744572</v>
      </c>
      <c r="Y90" s="209">
        <f t="shared" ref="Y90" si="303">(Y79+Y82)/Y86*1000</f>
        <v>44.220278916748313</v>
      </c>
      <c r="Z90" s="208">
        <f>(Z79+Z82)/Z86*1000</f>
        <v>47.75072835909338</v>
      </c>
      <c r="AA90" s="208">
        <f t="shared" ref="AA90:AD90" si="304">(AA79+AA82)/AA86*1000</f>
        <v>65.701024327784893</v>
      </c>
      <c r="AB90" s="208">
        <f t="shared" si="304"/>
        <v>69.280052122923223</v>
      </c>
      <c r="AC90" s="208">
        <f t="shared" si="304"/>
        <v>62.134852103619323</v>
      </c>
      <c r="AD90" s="209">
        <f t="shared" si="304"/>
        <v>62.087225858020687</v>
      </c>
      <c r="AE90" s="208">
        <f>(AE79+AE82)/AE86*1000</f>
        <v>60.831150553188159</v>
      </c>
      <c r="AF90" s="208">
        <f>(AF79+AF82)/AF86*1000</f>
        <v>67.524005486968449</v>
      </c>
      <c r="AG90" s="208">
        <f>(AG79+AG82)/AG86*1000</f>
        <v>68.660843759484706</v>
      </c>
      <c r="AH90" s="208">
        <f>(AH79+AH82)/AH86*1000</f>
        <v>62.374392516534513</v>
      </c>
      <c r="AI90" s="209">
        <f t="shared" ref="AI90" si="305">(AI79+AI82)/AI86*1000</f>
        <v>65.032793779471902</v>
      </c>
      <c r="AJ90" s="208">
        <f>(AJ79+AJ82)/AJ86*1000</f>
        <v>62.018006384734029</v>
      </c>
      <c r="AK90" s="208">
        <f t="shared" ref="AK90:AN90" si="306">(AK79+AK82)/AK86*1000</f>
        <v>62.028396316486493</v>
      </c>
      <c r="AL90" s="208">
        <f t="shared" si="306"/>
        <v>63.335083727171948</v>
      </c>
      <c r="AM90" s="208">
        <f t="shared" si="306"/>
        <v>59.008140181110853</v>
      </c>
      <c r="AN90" s="209">
        <f t="shared" si="306"/>
        <v>61.645968933434489</v>
      </c>
      <c r="AO90" s="208">
        <f>(AO79+AO82)/AO86*1000</f>
        <v>56.773560209424083</v>
      </c>
      <c r="AP90" s="208">
        <f>(AP79+AP82)/AP86*1000</f>
        <v>59.72187732803576</v>
      </c>
      <c r="AQ90" s="208">
        <f>(AQ79+AQ82)/AQ86*1000</f>
        <v>62.888080017129049</v>
      </c>
      <c r="AR90" s="208">
        <f>(AR79+AR82)/AR86*1000</f>
        <v>56.898081780326301</v>
      </c>
      <c r="AS90" s="209">
        <f t="shared" ref="AS90" si="307">(AS79+AS82)/AS86*1000</f>
        <v>59.166285957023888</v>
      </c>
      <c r="AT90" s="208">
        <f>(AT79+AT82)/AT86*1000</f>
        <v>53.678218891850996</v>
      </c>
      <c r="AU90" s="208">
        <f t="shared" ref="AU90:AW90" si="308">(AU79+AU82)/AU86*1000</f>
        <v>56.085340229513498</v>
      </c>
      <c r="AV90" s="208">
        <f t="shared" si="308"/>
        <v>59.674842589982148</v>
      </c>
      <c r="AW90" s="208">
        <f t="shared" si="308"/>
        <v>56.10423813979277</v>
      </c>
      <c r="AX90" s="209">
        <f t="shared" ref="AX90" si="309">(AX79+AX82)/AX86*1000</f>
        <v>56.489750822361536</v>
      </c>
      <c r="AY90" s="208">
        <f>AT90*(1+AY106)</f>
        <v>54.215001080769504</v>
      </c>
      <c r="AZ90" s="208">
        <f t="shared" ref="AZ90:BB90" si="310">AU90*(1+AZ106)</f>
        <v>56.646193631808636</v>
      </c>
      <c r="BA90" s="208">
        <f t="shared" si="310"/>
        <v>60.271591015881974</v>
      </c>
      <c r="BB90" s="208">
        <f t="shared" si="310"/>
        <v>56.665280521190695</v>
      </c>
      <c r="BC90" s="209">
        <f t="shared" ref="BC90" si="311">(BC79+BC82)/BC86*1000</f>
        <v>57.061598886424427</v>
      </c>
      <c r="BD90" s="208">
        <f>AY90*(1+BD106)</f>
        <v>54.215001080769504</v>
      </c>
      <c r="BE90" s="208">
        <f t="shared" ref="BE90" si="312">AZ90*(1+BE106)</f>
        <v>56.646193631808636</v>
      </c>
      <c r="BF90" s="208">
        <f t="shared" ref="BF90" si="313">BA90*(1+BF106)</f>
        <v>60.271591015881974</v>
      </c>
      <c r="BG90" s="208">
        <f t="shared" ref="BG90" si="314">BB90*(1+BG106)</f>
        <v>56.665280521190695</v>
      </c>
      <c r="BH90" s="209">
        <f t="shared" ref="BH90" si="315">(BH79+BH82)/BH86*1000</f>
        <v>57.061598886424441</v>
      </c>
      <c r="BI90" s="209">
        <f>BH90*(1+BI106)</f>
        <v>57.061598886424441</v>
      </c>
      <c r="BJ90" s="209">
        <f>BI90*(1+BJ106)</f>
        <v>57.061598886424441</v>
      </c>
      <c r="BK90" s="209">
        <f>BJ90*(1+BK106)</f>
        <v>57.061598886424441</v>
      </c>
      <c r="BL90" s="209">
        <f>BK90*(1+BL106)</f>
        <v>57.061598886424441</v>
      </c>
    </row>
    <row r="91" spans="3:64" s="41" customFormat="1" ht="12.75" customHeight="1">
      <c r="C91" s="84" t="s">
        <v>273</v>
      </c>
      <c r="E91" s="83">
        <f t="shared" ref="E91:Q91" si="316">(E79+E82)/E88/12*1000000</f>
        <v>1030.5343511450383</v>
      </c>
      <c r="F91" s="83">
        <f t="shared" si="316"/>
        <v>1030.5343511450383</v>
      </c>
      <c r="G91" s="83">
        <f t="shared" si="316"/>
        <v>1030.5343511450383</v>
      </c>
      <c r="H91" s="83">
        <f t="shared" si="316"/>
        <v>1030.5343511450383</v>
      </c>
      <c r="I91" s="83">
        <f t="shared" si="316"/>
        <v>1030.5343511450383</v>
      </c>
      <c r="J91" s="83">
        <f t="shared" si="316"/>
        <v>1030.5343511450383</v>
      </c>
      <c r="K91" s="83">
        <f t="shared" si="316"/>
        <v>1030.5343511450383</v>
      </c>
      <c r="L91" s="83">
        <f t="shared" si="316"/>
        <v>1030.5343511450383</v>
      </c>
      <c r="M91" s="83">
        <f t="shared" si="316"/>
        <v>1030.5343511450383</v>
      </c>
      <c r="N91" s="83">
        <f t="shared" si="316"/>
        <v>1030.5343511450383</v>
      </c>
      <c r="O91" s="83">
        <f t="shared" si="316"/>
        <v>1030.5343511450383</v>
      </c>
      <c r="P91" s="83">
        <f t="shared" si="316"/>
        <v>1030.5343511450383</v>
      </c>
      <c r="Q91" s="83">
        <f t="shared" si="316"/>
        <v>1030.5343511450383</v>
      </c>
      <c r="R91" s="83">
        <f>(R79+R82)/R88/12*1000000</f>
        <v>1030.5343511450383</v>
      </c>
      <c r="S91" s="83">
        <f>(S79+S82)/S88/12*1000000</f>
        <v>1065.2988755178537</v>
      </c>
      <c r="T91" s="83">
        <f>(T79+T82)/T88/12*1000000</f>
        <v>1080.9298302357479</v>
      </c>
      <c r="U91" s="82">
        <f>(U79+U82)/U88/3*1000000</f>
        <v>887.68046074536869</v>
      </c>
      <c r="V91" s="82">
        <f>(V79+V82)/V88/3*1000000</f>
        <v>353.3805524007667</v>
      </c>
      <c r="W91" s="82">
        <f>(W79+W82)/W88/3*1000000</f>
        <v>766.82702737643331</v>
      </c>
      <c r="X91" s="82">
        <f>(X79+X82)/X88/3*1000000</f>
        <v>979.26441145202773</v>
      </c>
      <c r="Y91" s="83">
        <f>(Y79+Y82)/Y88/12*1000000</f>
        <v>718.56659329661488</v>
      </c>
      <c r="Z91" s="82">
        <f>(Z79+Z82)/Z88/3*1000000</f>
        <v>1087.4503506380759</v>
      </c>
      <c r="AA91" s="82">
        <f t="shared" ref="AA91:AC91" si="317">(AA79+AA82)/AA88/3*1000000</f>
        <v>1590.3917865271926</v>
      </c>
      <c r="AB91" s="82">
        <f t="shared" si="317"/>
        <v>1713.5521021900163</v>
      </c>
      <c r="AC91" s="82">
        <f t="shared" si="317"/>
        <v>1529.8986159438778</v>
      </c>
      <c r="AD91" s="83">
        <f>(AD79+AD82)/AD88/12*1000000</f>
        <v>1499.5296776083587</v>
      </c>
      <c r="AE91" s="82">
        <f>(AE79+AE82)/AE88/3*1000000</f>
        <v>1389.9571132127214</v>
      </c>
      <c r="AF91" s="82">
        <f>(AF79+AF82)/AF88/3*1000000</f>
        <v>1642.5251342215815</v>
      </c>
      <c r="AG91" s="82">
        <f>(AG79+AG82)/AG88/3*1000000</f>
        <v>1707.3890700264326</v>
      </c>
      <c r="AH91" s="82">
        <f>(AH79+AH82)/AH88/3*1000000</f>
        <v>1534.8386800926837</v>
      </c>
      <c r="AI91" s="83">
        <f>(AI79+AI82)/AI88/12*1000000</f>
        <v>1572.1882749538381</v>
      </c>
      <c r="AJ91" s="82">
        <f>(AJ79+AJ82)/AJ88/3*1000000</f>
        <v>1464.5889663678192</v>
      </c>
      <c r="AK91" s="82">
        <f t="shared" ref="AK91:AM91" si="318">(AK79+AK82)/AK88/3*1000000</f>
        <v>1554.2965804703483</v>
      </c>
      <c r="AL91" s="82">
        <f t="shared" si="318"/>
        <v>1635.9483640139586</v>
      </c>
      <c r="AM91" s="82">
        <f t="shared" si="318"/>
        <v>1425.2269111266401</v>
      </c>
      <c r="AN91" s="83">
        <f>(AN79+AN82)/AN88/12*1000000</f>
        <v>1522.5383608066791</v>
      </c>
      <c r="AO91" s="82">
        <f>(AO79+AO82)/AO88/3*1000000</f>
        <v>1333.1089714776149</v>
      </c>
      <c r="AP91" s="82">
        <f>(AP79+AP82)/AP88/3*1000000</f>
        <v>1459.9514968296894</v>
      </c>
      <c r="AQ91" s="82">
        <f>(AQ79+AQ82)/AQ88/3*1000000</f>
        <v>1584.1901521315679</v>
      </c>
      <c r="AR91" s="82">
        <f>(AR79+AR82)/AR88/3*1000000</f>
        <v>1389.4202358597111</v>
      </c>
      <c r="AS91" s="83">
        <f>(AS79+AS82)/AS88/12*1000000</f>
        <v>1442.6630363620657</v>
      </c>
      <c r="AT91" s="82">
        <f>(AT79+AT82)/AT88/3*1000000</f>
        <v>1284.182746961701</v>
      </c>
      <c r="AU91" s="82">
        <f t="shared" ref="AU91:AW91" si="319">(AU79+AU82)/AU88/3*1000000</f>
        <v>1419.7943057655925</v>
      </c>
      <c r="AV91" s="82">
        <f t="shared" si="319"/>
        <v>1551.724980572892</v>
      </c>
      <c r="AW91" s="82">
        <f t="shared" si="319"/>
        <v>1355.5853633621869</v>
      </c>
      <c r="AX91" s="83">
        <f>(AX79+AX82)/AX88/12*1000000</f>
        <v>1404.7940339652514</v>
      </c>
      <c r="AY91" s="82">
        <f>(AY79+AY82)/AY88/3*1000000</f>
        <v>1313.2890747555489</v>
      </c>
      <c r="AZ91" s="82">
        <f t="shared" ref="AZ91:BB91" si="320">(AZ79+AZ82)/AZ88/3*1000000</f>
        <v>1451.1749275582306</v>
      </c>
      <c r="BA91" s="82">
        <f t="shared" si="320"/>
        <v>1585.7255182901581</v>
      </c>
      <c r="BB91" s="82">
        <f t="shared" si="320"/>
        <v>1386.5185696889735</v>
      </c>
      <c r="BC91" s="83">
        <f>(BC79+BC82)/BC88/12*1000000</f>
        <v>1436.4384898735304</v>
      </c>
      <c r="BD91" s="82">
        <f>(BD79+BD82)/BD88/3*1000000</f>
        <v>1313.2890747555493</v>
      </c>
      <c r="BE91" s="82">
        <f t="shared" ref="BE91:BG91" si="321">(BE79+BE82)/BE88/3*1000000</f>
        <v>1451.1749275582304</v>
      </c>
      <c r="BF91" s="82">
        <f t="shared" si="321"/>
        <v>1585.7255182901581</v>
      </c>
      <c r="BG91" s="82">
        <f t="shared" si="321"/>
        <v>1386.5185696889737</v>
      </c>
      <c r="BH91" s="83">
        <f>(BH79+BH82)/BH88/12*1000000</f>
        <v>1436.4384898735304</v>
      </c>
      <c r="BI91" s="83">
        <f t="shared" ref="BI91:BL91" si="322">(BI79+BI82)/BI88/12*1000000</f>
        <v>1440.1169120491893</v>
      </c>
      <c r="BJ91" s="83">
        <f t="shared" si="322"/>
        <v>1436.1821663878527</v>
      </c>
      <c r="BK91" s="83">
        <f t="shared" si="322"/>
        <v>1436.1821663878527</v>
      </c>
      <c r="BL91" s="83">
        <f t="shared" si="322"/>
        <v>1436.1821663878532</v>
      </c>
    </row>
    <row r="92" spans="3:64" s="41" customFormat="1" ht="12.75" customHeight="1">
      <c r="C92" s="84" t="s">
        <v>274</v>
      </c>
      <c r="E92" s="83">
        <f t="shared" ref="E92:Q92" si="323">(E114+E83)/E87*1000000/12</f>
        <v>327.35025101437321</v>
      </c>
      <c r="F92" s="83">
        <f t="shared" si="323"/>
        <v>327.35025101437321</v>
      </c>
      <c r="G92" s="83">
        <f t="shared" si="323"/>
        <v>327.35025101437321</v>
      </c>
      <c r="H92" s="83">
        <f t="shared" si="323"/>
        <v>327.35025101437321</v>
      </c>
      <c r="I92" s="83">
        <f t="shared" si="323"/>
        <v>327.35025101437321</v>
      </c>
      <c r="J92" s="83">
        <f t="shared" si="323"/>
        <v>327.35025101437321</v>
      </c>
      <c r="K92" s="83">
        <f t="shared" si="323"/>
        <v>327.35025101437321</v>
      </c>
      <c r="L92" s="83">
        <f t="shared" si="323"/>
        <v>327.35025101437321</v>
      </c>
      <c r="M92" s="83">
        <f t="shared" si="323"/>
        <v>327.35025101437321</v>
      </c>
      <c r="N92" s="83">
        <f t="shared" si="323"/>
        <v>327.35025101437321</v>
      </c>
      <c r="O92" s="83">
        <f t="shared" si="323"/>
        <v>327.35025101437321</v>
      </c>
      <c r="P92" s="83">
        <f t="shared" si="323"/>
        <v>327.35025101437321</v>
      </c>
      <c r="Q92" s="83">
        <f t="shared" si="323"/>
        <v>327.35025101437321</v>
      </c>
      <c r="R92" s="83">
        <f t="shared" ref="R92:T92" si="324">(R114+R83)/R87*1000000/12</f>
        <v>327.35025101437321</v>
      </c>
      <c r="S92" s="83">
        <f t="shared" si="324"/>
        <v>275.85980140724666</v>
      </c>
      <c r="T92" s="83">
        <f t="shared" si="324"/>
        <v>258.00227715053313</v>
      </c>
      <c r="U92" s="82">
        <f t="shared" ref="U92:X92" si="325">(U114+U83)/U87*1000000/3</f>
        <v>297.60756938820111</v>
      </c>
      <c r="V92" s="82">
        <f t="shared" si="325"/>
        <v>270.50518832929231</v>
      </c>
      <c r="W92" s="82">
        <f t="shared" si="325"/>
        <v>161.15764316687165</v>
      </c>
      <c r="X92" s="82">
        <f t="shared" si="325"/>
        <v>300.71019027465235</v>
      </c>
      <c r="Y92" s="83">
        <f>(Y114+Y83)/Y87*1000000/12</f>
        <v>259.83179330911514</v>
      </c>
      <c r="Z92" s="82">
        <f t="shared" ref="Z92" si="326">(Z114+Z83)/Z87*1000000/3</f>
        <v>232.86295017398189</v>
      </c>
      <c r="AA92" s="82">
        <f>(AA114+AA83)/AA87*1000000/3</f>
        <v>77.115976716687328</v>
      </c>
      <c r="AB92" s="82">
        <f t="shared" ref="AB92:AC92" si="327">(AB114+AB83)/AB87*1000000/3</f>
        <v>20.652196361083003</v>
      </c>
      <c r="AC92" s="82">
        <f t="shared" si="327"/>
        <v>26.008343476587289</v>
      </c>
      <c r="AD92" s="83">
        <f>(AD114+AD83)/AD87*1000000/12</f>
        <v>80.838584326593505</v>
      </c>
      <c r="AE92" s="82">
        <f t="shared" ref="AE92:AH92" si="328">(AE114+AE83)/AE87*1000000/3</f>
        <v>-77.963885116442839</v>
      </c>
      <c r="AF92" s="82">
        <f t="shared" si="328"/>
        <v>48.960033608694033</v>
      </c>
      <c r="AG92" s="82">
        <f t="shared" si="328"/>
        <v>198.15349141752586</v>
      </c>
      <c r="AH92" s="82">
        <f t="shared" si="328"/>
        <v>278.29313543599261</v>
      </c>
      <c r="AI92" s="83">
        <f>(AI114+AI83)/AI87*1000000/12</f>
        <v>112.51747822178594</v>
      </c>
      <c r="AJ92" s="82">
        <f t="shared" ref="AJ92" si="329">(AJ114+AJ83)/AJ87*1000000/3</f>
        <v>282.49750393276884</v>
      </c>
      <c r="AK92" s="82">
        <f>(AK114+AK83)/AK87*1000000/3</f>
        <v>198.21966674318529</v>
      </c>
      <c r="AL92" s="82">
        <f t="shared" ref="AL92:AM92" si="330">(AL114+AL83)/AL87*1000000/3</f>
        <v>295.63710865482977</v>
      </c>
      <c r="AM92" s="82">
        <f t="shared" si="330"/>
        <v>552.35463556163643</v>
      </c>
      <c r="AN92" s="83">
        <f>(AN114+AN83)/AN87*1000000/12</f>
        <v>331.86227024794056</v>
      </c>
      <c r="AO92" s="82">
        <f t="shared" ref="AO92:AR92" si="331">(AO114+AO83)/AO87*1000000/3</f>
        <v>648.04642853179757</v>
      </c>
      <c r="AP92" s="82">
        <f t="shared" si="331"/>
        <v>644.06318373825957</v>
      </c>
      <c r="AQ92" s="82">
        <f t="shared" si="331"/>
        <v>590.47713573278509</v>
      </c>
      <c r="AR92" s="82">
        <f t="shared" si="331"/>
        <v>458.14093339092818</v>
      </c>
      <c r="AS92" s="83">
        <f>(AS114+AS83)/AS87*1000000/12</f>
        <v>587.01743713623648</v>
      </c>
      <c r="AT92" s="82">
        <f t="shared" ref="AT92" si="332">(AT114+AT83)/AT87*1000000/3</f>
        <v>372.53768315428141</v>
      </c>
      <c r="AU92" s="82">
        <f>(AU114+AU83)/AU87*1000000/3</f>
        <v>247.85593144488533</v>
      </c>
      <c r="AV92" s="82">
        <f t="shared" ref="AV92:AW92" si="333">(AV114+AV83)/AV87*1000000/3</f>
        <v>278.42875204311798</v>
      </c>
      <c r="AW92" s="82">
        <f t="shared" si="333"/>
        <v>346.76735763273479</v>
      </c>
      <c r="AX92" s="83">
        <f>(AX114+AX83)/AX87*1000000/12</f>
        <v>310.36917160041185</v>
      </c>
      <c r="AY92" s="82">
        <f>AT92*(1+AY108)</f>
        <v>298.03014652342512</v>
      </c>
      <c r="AZ92" s="82">
        <f t="shared" ref="AZ92" si="334">AU92*(1+AZ108)</f>
        <v>247.85593144488533</v>
      </c>
      <c r="BA92" s="82">
        <f t="shared" ref="BA92" si="335">AV92*(1+BA108)</f>
        <v>278.42875204311798</v>
      </c>
      <c r="BB92" s="82">
        <f t="shared" ref="BB92" si="336">AW92*(1+BB108)</f>
        <v>294.75225398782459</v>
      </c>
      <c r="BC92" s="83">
        <f>(BC114+BC83)/BC87*1000000/12</f>
        <v>279.38699369971999</v>
      </c>
      <c r="BD92" s="82">
        <f>AY92*(1+BD108)</f>
        <v>298.03014652342512</v>
      </c>
      <c r="BE92" s="82">
        <f t="shared" ref="BE92" si="337">AZ92*(1+BE108)</f>
        <v>247.85593144488533</v>
      </c>
      <c r="BF92" s="82">
        <f t="shared" ref="BF92" si="338">BA92*(1+BF108)</f>
        <v>278.42875204311798</v>
      </c>
      <c r="BG92" s="82">
        <f t="shared" ref="BG92" si="339">BB92*(1+BG108)</f>
        <v>294.75225398782459</v>
      </c>
      <c r="BH92" s="83">
        <f>(BH114+BH83)/BH87*1000000/12</f>
        <v>279.38699369972005</v>
      </c>
      <c r="BI92" s="83">
        <f>BH92*(1+BI108)</f>
        <v>279.38699369972005</v>
      </c>
      <c r="BJ92" s="83">
        <f>BI92*(1+BJ108)</f>
        <v>279.38699369972005</v>
      </c>
      <c r="BK92" s="83">
        <f>BJ92*(1+BK108)</f>
        <v>279.38699369972005</v>
      </c>
      <c r="BL92" s="83">
        <f>BK92*(1+BL108)</f>
        <v>279.38699369972005</v>
      </c>
    </row>
    <row r="93" spans="3:64" s="41" customFormat="1" ht="12.75" customHeight="1">
      <c r="C93" s="84" t="s">
        <v>267</v>
      </c>
      <c r="E93" s="210">
        <v>7.0000000000000007E-2</v>
      </c>
      <c r="F93" s="210">
        <v>7.0000000000000007E-2</v>
      </c>
      <c r="G93" s="210">
        <v>7.0000000000000007E-2</v>
      </c>
      <c r="H93" s="210">
        <v>7.0000000000000007E-2</v>
      </c>
      <c r="I93" s="210">
        <v>7.0000000000000007E-2</v>
      </c>
      <c r="J93" s="210">
        <v>7.0000000000000007E-2</v>
      </c>
      <c r="K93" s="210">
        <v>7.0000000000000007E-2</v>
      </c>
      <c r="L93" s="210">
        <v>7.0000000000000007E-2</v>
      </c>
      <c r="M93" s="210">
        <v>7.0000000000000007E-2</v>
      </c>
      <c r="N93" s="210">
        <v>7.0000000000000007E-2</v>
      </c>
      <c r="O93" s="210">
        <v>7.0000000000000007E-2</v>
      </c>
      <c r="P93" s="210">
        <v>7.0000000000000007E-2</v>
      </c>
      <c r="Q93" s="210">
        <v>7.0000000000000007E-2</v>
      </c>
      <c r="R93" s="210">
        <v>7.0000000000000007E-2</v>
      </c>
      <c r="S93" s="210">
        <v>0.09</v>
      </c>
      <c r="T93" s="210">
        <v>0.11</v>
      </c>
      <c r="U93" s="207">
        <v>0.09</v>
      </c>
      <c r="V93" s="207">
        <v>0.06</v>
      </c>
      <c r="W93" s="207">
        <v>0.04</v>
      </c>
      <c r="X93" s="207">
        <v>0.02</v>
      </c>
      <c r="Y93" s="56">
        <f>X93</f>
        <v>0.02</v>
      </c>
      <c r="Z93" s="207">
        <v>0.01</v>
      </c>
      <c r="AA93" s="207">
        <v>0.05</v>
      </c>
      <c r="AB93" s="207">
        <v>0.05</v>
      </c>
      <c r="AC93" s="207">
        <v>0</v>
      </c>
      <c r="AD93" s="56">
        <f>AC93</f>
        <v>0</v>
      </c>
      <c r="AE93" s="207">
        <v>0</v>
      </c>
      <c r="AF93" s="207">
        <v>0.01</v>
      </c>
      <c r="AG93" s="207">
        <v>0</v>
      </c>
      <c r="AH93" s="207">
        <v>0.01</v>
      </c>
      <c r="AI93" s="56">
        <f>AH93</f>
        <v>0.01</v>
      </c>
      <c r="AJ93" s="207">
        <v>0.01</v>
      </c>
      <c r="AK93" s="207">
        <v>0.01</v>
      </c>
      <c r="AL93" s="207">
        <v>0.01</v>
      </c>
      <c r="AM93" s="207">
        <v>0.01</v>
      </c>
      <c r="AN93" s="56">
        <f>AM93</f>
        <v>0.01</v>
      </c>
      <c r="AO93" s="207">
        <v>0.02</v>
      </c>
      <c r="AP93" s="207">
        <v>0.04</v>
      </c>
      <c r="AQ93" s="207">
        <v>0.04</v>
      </c>
      <c r="AR93" s="207">
        <v>7.0000000000000007E-2</v>
      </c>
      <c r="AS93" s="56">
        <f>AR93</f>
        <v>7.0000000000000007E-2</v>
      </c>
      <c r="AT93" s="207">
        <v>0.08</v>
      </c>
      <c r="AU93" s="207">
        <v>7.0000000000000007E-2</v>
      </c>
      <c r="AV93" s="207">
        <v>0.12</v>
      </c>
      <c r="AW93" s="207">
        <v>0.11</v>
      </c>
      <c r="AX93" s="56">
        <f>AW93</f>
        <v>0.11</v>
      </c>
      <c r="AY93" s="58"/>
      <c r="AZ93" s="58"/>
      <c r="BA93" s="58"/>
      <c r="BB93" s="58"/>
      <c r="BC93" s="57"/>
      <c r="BD93" s="58"/>
      <c r="BE93" s="58"/>
      <c r="BF93" s="58"/>
      <c r="BG93" s="58"/>
      <c r="BH93" s="57"/>
      <c r="BI93" s="57"/>
      <c r="BJ93" s="57"/>
      <c r="BK93" s="57"/>
      <c r="BL93" s="57"/>
    </row>
    <row r="94" spans="3:64" s="41" customFormat="1" ht="12.75" customHeight="1">
      <c r="C94" s="84" t="s">
        <v>284</v>
      </c>
      <c r="E94" s="83">
        <f t="shared" ref="E94:Q94" si="340">E114/E88/E84*1000000</f>
        <v>10.762200033349256</v>
      </c>
      <c r="F94" s="83">
        <f t="shared" si="340"/>
        <v>10.762200033349256</v>
      </c>
      <c r="G94" s="83">
        <f t="shared" si="340"/>
        <v>10.762200033349256</v>
      </c>
      <c r="H94" s="83">
        <f t="shared" si="340"/>
        <v>10.762200033349256</v>
      </c>
      <c r="I94" s="83">
        <f t="shared" si="340"/>
        <v>10.762200033349256</v>
      </c>
      <c r="J94" s="83">
        <f t="shared" si="340"/>
        <v>10.762200033349256</v>
      </c>
      <c r="K94" s="83">
        <f t="shared" si="340"/>
        <v>10.762200033349256</v>
      </c>
      <c r="L94" s="83">
        <f t="shared" si="340"/>
        <v>10.762200033349256</v>
      </c>
      <c r="M94" s="83">
        <f t="shared" si="340"/>
        <v>10.762200033349256</v>
      </c>
      <c r="N94" s="83">
        <f t="shared" si="340"/>
        <v>10.762200033349256</v>
      </c>
      <c r="O94" s="83">
        <f t="shared" si="340"/>
        <v>10.762200033349256</v>
      </c>
      <c r="P94" s="83">
        <f t="shared" si="340"/>
        <v>10.762200033349256</v>
      </c>
      <c r="Q94" s="83">
        <f t="shared" si="340"/>
        <v>10.762200033349256</v>
      </c>
      <c r="R94" s="83">
        <f t="shared" ref="R94:T94" si="341">R114/R88/R84*1000000</f>
        <v>10.762200033349256</v>
      </c>
      <c r="S94" s="83">
        <f t="shared" si="341"/>
        <v>9.0693633339368773</v>
      </c>
      <c r="T94" s="83">
        <f t="shared" si="341"/>
        <v>8.4822666460449252</v>
      </c>
      <c r="U94" s="82">
        <f t="shared" ref="U94:BL94" si="342">U114/U88/U84*1000000</f>
        <v>9.8112385512593789</v>
      </c>
      <c r="V94" s="82">
        <f t="shared" si="342"/>
        <v>8.9177534614052405</v>
      </c>
      <c r="W94" s="82">
        <f t="shared" si="342"/>
        <v>5.2551405380501626</v>
      </c>
      <c r="X94" s="82">
        <f t="shared" si="342"/>
        <v>9.8057670741734473</v>
      </c>
      <c r="Y94" s="83">
        <f t="shared" si="342"/>
        <v>8.5190751904627913</v>
      </c>
      <c r="Z94" s="82">
        <f t="shared" si="342"/>
        <v>7.8719260128919659</v>
      </c>
      <c r="AA94" s="82">
        <f t="shared" si="342"/>
        <v>2.5544700831639666</v>
      </c>
      <c r="AB94" s="82">
        <f t="shared" si="342"/>
        <v>0.70064826312798811</v>
      </c>
      <c r="AC94" s="82">
        <f t="shared" si="342"/>
        <v>0.88506206409218247</v>
      </c>
      <c r="AD94" s="83">
        <f t="shared" si="342"/>
        <v>2.7291703264688683</v>
      </c>
      <c r="AE94" s="82">
        <f t="shared" si="342"/>
        <v>-2.7691947628274018</v>
      </c>
      <c r="AF94" s="82">
        <f t="shared" si="342"/>
        <v>1.6775520544402491</v>
      </c>
      <c r="AG94" s="82">
        <f t="shared" si="342"/>
        <v>6.8911022088279612</v>
      </c>
      <c r="AH94" s="82">
        <f t="shared" si="342"/>
        <v>9.7635302298247044</v>
      </c>
      <c r="AI94" s="83">
        <f t="shared" si="342"/>
        <v>3.9328116466981058</v>
      </c>
      <c r="AJ94" s="82">
        <f t="shared" si="342"/>
        <v>9.8542808803232891</v>
      </c>
      <c r="AK94" s="82">
        <f t="shared" si="342"/>
        <v>6.9202724317895843</v>
      </c>
      <c r="AL94" s="82">
        <f t="shared" si="342"/>
        <v>10.172870987650136</v>
      </c>
      <c r="AM94" s="82">
        <f t="shared" si="342"/>
        <v>19.053376747567988</v>
      </c>
      <c r="AN94" s="83">
        <f t="shared" si="342"/>
        <v>11.510493440019829</v>
      </c>
      <c r="AO94" s="82">
        <f t="shared" si="342"/>
        <v>22.189634082041817</v>
      </c>
      <c r="AP94" s="82">
        <f t="shared" si="342"/>
        <v>22.639237816662899</v>
      </c>
      <c r="AQ94" s="82">
        <f t="shared" si="342"/>
        <v>20.65329954299424</v>
      </c>
      <c r="AR94" s="82">
        <f t="shared" si="342"/>
        <v>16.17142954676185</v>
      </c>
      <c r="AS94" s="83">
        <f t="shared" si="342"/>
        <v>20.491298685264049</v>
      </c>
      <c r="AT94" s="82">
        <f t="shared" si="342"/>
        <v>13.272761277322282</v>
      </c>
      <c r="AU94" s="82">
        <f t="shared" si="342"/>
        <v>8.7677705172844327</v>
      </c>
      <c r="AV94" s="82">
        <f t="shared" si="342"/>
        <v>9.429345568356327</v>
      </c>
      <c r="AW94" s="82">
        <f t="shared" si="342"/>
        <v>11.794979663489231</v>
      </c>
      <c r="AX94" s="83">
        <f t="shared" si="342"/>
        <v>10.771255696342905</v>
      </c>
      <c r="AY94" s="82">
        <f t="shared" si="342"/>
        <v>10.618209021857824</v>
      </c>
      <c r="AZ94" s="82">
        <f t="shared" si="342"/>
        <v>8.7407927618466346</v>
      </c>
      <c r="BA94" s="82">
        <f t="shared" si="342"/>
        <v>9.429345568356327</v>
      </c>
      <c r="BB94" s="82">
        <f t="shared" si="342"/>
        <v>10.025732713965844</v>
      </c>
      <c r="BC94" s="83">
        <f t="shared" si="342"/>
        <v>9.6892251902167423</v>
      </c>
      <c r="BD94" s="82">
        <f t="shared" si="342"/>
        <v>10.618209021857821</v>
      </c>
      <c r="BE94" s="82">
        <f t="shared" si="342"/>
        <v>8.7407927618466346</v>
      </c>
      <c r="BF94" s="82">
        <f t="shared" si="342"/>
        <v>9.429345568356327</v>
      </c>
      <c r="BG94" s="82">
        <f t="shared" si="342"/>
        <v>10.025732713965844</v>
      </c>
      <c r="BH94" s="83">
        <f t="shared" si="342"/>
        <v>9.6892251902167406</v>
      </c>
      <c r="BI94" s="83">
        <f t="shared" si="342"/>
        <v>9.662751897347297</v>
      </c>
      <c r="BJ94" s="83">
        <f t="shared" si="342"/>
        <v>9.6892251902167423</v>
      </c>
      <c r="BK94" s="83">
        <f t="shared" si="342"/>
        <v>9.6892251902167406</v>
      </c>
      <c r="BL94" s="83">
        <f t="shared" si="342"/>
        <v>9.6892251902167406</v>
      </c>
    </row>
    <row r="95" spans="3:64" s="41" customFormat="1" ht="12.75" customHeight="1">
      <c r="C95" s="84" t="s">
        <v>283</v>
      </c>
      <c r="E95" s="83">
        <f t="shared" ref="E95:Q95" si="343">E117/E88*1000000/E84</f>
        <v>20.636970757225907</v>
      </c>
      <c r="F95" s="83">
        <f t="shared" si="343"/>
        <v>20.636970757225907</v>
      </c>
      <c r="G95" s="83">
        <f t="shared" si="343"/>
        <v>20.636970757225907</v>
      </c>
      <c r="H95" s="83">
        <f t="shared" si="343"/>
        <v>20.636970757225907</v>
      </c>
      <c r="I95" s="83">
        <f t="shared" si="343"/>
        <v>20.636970757225907</v>
      </c>
      <c r="J95" s="83">
        <f t="shared" si="343"/>
        <v>20.636970757225907</v>
      </c>
      <c r="K95" s="83">
        <f t="shared" si="343"/>
        <v>20.636970757225907</v>
      </c>
      <c r="L95" s="83">
        <f t="shared" si="343"/>
        <v>20.636970757225907</v>
      </c>
      <c r="M95" s="83">
        <f t="shared" si="343"/>
        <v>20.636970757225907</v>
      </c>
      <c r="N95" s="83">
        <f t="shared" si="343"/>
        <v>20.636970757225907</v>
      </c>
      <c r="O95" s="83">
        <f t="shared" si="343"/>
        <v>20.636970757225907</v>
      </c>
      <c r="P95" s="83">
        <f t="shared" si="343"/>
        <v>20.636970757225907</v>
      </c>
      <c r="Q95" s="83">
        <f t="shared" si="343"/>
        <v>20.636970757225907</v>
      </c>
      <c r="R95" s="83">
        <f t="shared" ref="R95:T95" si="344">R117/R88*1000000/R84</f>
        <v>20.636970757225907</v>
      </c>
      <c r="S95" s="83">
        <f t="shared" si="344"/>
        <v>21.695127784518842</v>
      </c>
      <c r="T95" s="83">
        <f t="shared" si="344"/>
        <v>21.236399465279138</v>
      </c>
      <c r="U95" s="82">
        <f t="shared" ref="U95:AX95" si="345">U117/U88*1000000/U84</f>
        <v>20.533672043564444</v>
      </c>
      <c r="V95" s="82">
        <f t="shared" si="345"/>
        <v>12.261911009432209</v>
      </c>
      <c r="W95" s="82">
        <f t="shared" si="345"/>
        <v>18.710610267343437</v>
      </c>
      <c r="X95" s="82">
        <f t="shared" si="345"/>
        <v>24.78781267820797</v>
      </c>
      <c r="Y95" s="83">
        <f t="shared" si="345"/>
        <v>18.4171837324831</v>
      </c>
      <c r="Z95" s="82">
        <f t="shared" si="345"/>
        <v>24.028117020303576</v>
      </c>
      <c r="AA95" s="82">
        <f t="shared" si="345"/>
        <v>25.321184699362821</v>
      </c>
      <c r="AB95" s="82">
        <f t="shared" si="345"/>
        <v>28.02593052511952</v>
      </c>
      <c r="AC95" s="82">
        <f t="shared" si="345"/>
        <v>26.787878473190052</v>
      </c>
      <c r="AD95" s="83">
        <f t="shared" si="345"/>
        <v>26.196861680233148</v>
      </c>
      <c r="AE95" s="82">
        <f t="shared" si="345"/>
        <v>26.8879878584209</v>
      </c>
      <c r="AF95" s="82">
        <f t="shared" si="345"/>
        <v>27.555855058182456</v>
      </c>
      <c r="AG95" s="82">
        <f t="shared" si="345"/>
        <v>29.451258249633785</v>
      </c>
      <c r="AH95" s="82">
        <f t="shared" si="345"/>
        <v>32.193261838881462</v>
      </c>
      <c r="AI95" s="83">
        <f t="shared" si="345"/>
        <v>29.016042528984215</v>
      </c>
      <c r="AJ95" s="82">
        <f t="shared" si="345"/>
        <v>29.336956546291969</v>
      </c>
      <c r="AK95" s="82">
        <f t="shared" si="345"/>
        <v>28.97864080811889</v>
      </c>
      <c r="AL95" s="82">
        <f t="shared" si="345"/>
        <v>30.494040810806318</v>
      </c>
      <c r="AM95" s="82">
        <f t="shared" si="345"/>
        <v>29.944698861380505</v>
      </c>
      <c r="AN95" s="83">
        <f t="shared" si="345"/>
        <v>29.713285037842734</v>
      </c>
      <c r="AO95" s="82">
        <f t="shared" si="345"/>
        <v>29.180888655835812</v>
      </c>
      <c r="AP95" s="82">
        <f t="shared" si="345"/>
        <v>29.993863140529076</v>
      </c>
      <c r="AQ95" s="82">
        <f t="shared" si="345"/>
        <v>30.201053589633915</v>
      </c>
      <c r="AR95" s="82">
        <f t="shared" si="345"/>
        <v>31.880818249330506</v>
      </c>
      <c r="AS95" s="83">
        <f t="shared" si="345"/>
        <v>30.282013003926803</v>
      </c>
      <c r="AT95" s="82">
        <f t="shared" si="345"/>
        <v>30.625029267587777</v>
      </c>
      <c r="AU95" s="82">
        <f t="shared" si="345"/>
        <v>30.538819155587625</v>
      </c>
      <c r="AV95" s="82">
        <f t="shared" si="345"/>
        <v>30.678575018173408</v>
      </c>
      <c r="AW95" s="82">
        <f t="shared" si="345"/>
        <v>30.25193858135664</v>
      </c>
      <c r="AX95" s="83">
        <f t="shared" si="345"/>
        <v>30.527682122862579</v>
      </c>
      <c r="AY95" s="82">
        <f>AT95*(1+AY110)</f>
        <v>29.093777804208386</v>
      </c>
      <c r="AZ95" s="82">
        <f t="shared" ref="AZ95:BB95" si="346">AU95*(1+AZ110)</f>
        <v>29.011878197808244</v>
      </c>
      <c r="BA95" s="82">
        <f t="shared" si="346"/>
        <v>29.144646267264736</v>
      </c>
      <c r="BB95" s="82">
        <f t="shared" si="346"/>
        <v>28.739341652288807</v>
      </c>
      <c r="BC95" s="83">
        <f t="shared" ref="BC95" si="347">BC117/BC88*1000000/BC84</f>
        <v>29.002198904507239</v>
      </c>
      <c r="BD95" s="82">
        <f t="shared" ref="BD95:BG95" si="348">AY95*(1+BD110)</f>
        <v>28.220964470082134</v>
      </c>
      <c r="BE95" s="82">
        <f t="shared" si="348"/>
        <v>28.141521851873996</v>
      </c>
      <c r="BF95" s="82">
        <f t="shared" si="348"/>
        <v>28.270306879246792</v>
      </c>
      <c r="BG95" s="82">
        <f t="shared" si="348"/>
        <v>27.877161402720141</v>
      </c>
      <c r="BH95" s="83">
        <f t="shared" ref="BH95" si="349">BH117/BH88*1000000/BH84</f>
        <v>28.132132937372017</v>
      </c>
      <c r="BI95" s="83">
        <f t="shared" ref="BI95:BL97" si="350">BH95*(1+BI110)</f>
        <v>27.288168949250856</v>
      </c>
      <c r="BJ95" s="83">
        <f t="shared" si="350"/>
        <v>26.46952388077333</v>
      </c>
      <c r="BK95" s="83">
        <f t="shared" si="350"/>
        <v>25.67543816435013</v>
      </c>
      <c r="BL95" s="83">
        <f t="shared" si="350"/>
        <v>24.905175019419627</v>
      </c>
    </row>
    <row r="96" spans="3:64" s="41" customFormat="1" ht="12.75" customHeight="1">
      <c r="C96" s="84" t="s">
        <v>285</v>
      </c>
      <c r="E96" s="83">
        <f t="shared" ref="E96:Q96" si="351">E123/E88*1000000/E84</f>
        <v>2.2157470656895519</v>
      </c>
      <c r="F96" s="83">
        <f t="shared" si="351"/>
        <v>2.2157470656895519</v>
      </c>
      <c r="G96" s="83">
        <f t="shared" si="351"/>
        <v>2.2157470656895519</v>
      </c>
      <c r="H96" s="83">
        <f t="shared" si="351"/>
        <v>2.2157470656895519</v>
      </c>
      <c r="I96" s="83">
        <f t="shared" si="351"/>
        <v>2.2157470656895519</v>
      </c>
      <c r="J96" s="83">
        <f t="shared" si="351"/>
        <v>2.2157470656895519</v>
      </c>
      <c r="K96" s="83">
        <f t="shared" si="351"/>
        <v>2.2157470656895519</v>
      </c>
      <c r="L96" s="83">
        <f t="shared" si="351"/>
        <v>2.2157470656895519</v>
      </c>
      <c r="M96" s="83">
        <f t="shared" si="351"/>
        <v>2.2157470656895519</v>
      </c>
      <c r="N96" s="83">
        <f t="shared" si="351"/>
        <v>2.2157470656895519</v>
      </c>
      <c r="O96" s="83">
        <f t="shared" si="351"/>
        <v>2.2157470656895519</v>
      </c>
      <c r="P96" s="83">
        <f t="shared" si="351"/>
        <v>2.2157470656895519</v>
      </c>
      <c r="Q96" s="83">
        <f t="shared" si="351"/>
        <v>2.2157470656895519</v>
      </c>
      <c r="R96" s="83">
        <f>R123/R88*1000000/R84</f>
        <v>2.2157470656895519</v>
      </c>
      <c r="S96" s="83">
        <f t="shared" ref="S96:AX96" si="352">S123/S88*1000000/S84</f>
        <v>2.5186670522136976</v>
      </c>
      <c r="T96" s="83">
        <f t="shared" si="352"/>
        <v>2.5098494302910708</v>
      </c>
      <c r="U96" s="82">
        <f t="shared" si="352"/>
        <v>2.4369167027966054</v>
      </c>
      <c r="V96" s="82">
        <f t="shared" si="352"/>
        <v>1.3770060491875742</v>
      </c>
      <c r="W96" s="82">
        <f t="shared" si="352"/>
        <v>1.3282223337928982</v>
      </c>
      <c r="X96" s="82">
        <f t="shared" si="352"/>
        <v>1.8226332851623508</v>
      </c>
      <c r="Y96" s="83">
        <f t="shared" si="352"/>
        <v>1.7656782164801854</v>
      </c>
      <c r="Z96" s="82">
        <f t="shared" si="352"/>
        <v>1.9492388222399153</v>
      </c>
      <c r="AA96" s="82">
        <f t="shared" si="352"/>
        <v>2.203230446728921</v>
      </c>
      <c r="AB96" s="82">
        <f t="shared" si="352"/>
        <v>2.1019447893839645</v>
      </c>
      <c r="AC96" s="82">
        <f t="shared" si="352"/>
        <v>2.6551861922765472</v>
      </c>
      <c r="AD96" s="83">
        <f t="shared" si="352"/>
        <v>2.2452186116008424</v>
      </c>
      <c r="AE96" s="82">
        <f t="shared" si="352"/>
        <v>2.5607607484210382</v>
      </c>
      <c r="AF96" s="82">
        <f t="shared" si="352"/>
        <v>2.7225844817964702</v>
      </c>
      <c r="AG96" s="82">
        <f t="shared" si="352"/>
        <v>2.3243797132951456</v>
      </c>
      <c r="AH96" s="82">
        <f t="shared" si="352"/>
        <v>2.3749127586060097</v>
      </c>
      <c r="AI96" s="83">
        <f t="shared" si="352"/>
        <v>2.4962330705082008</v>
      </c>
      <c r="AJ96" s="82">
        <f t="shared" si="352"/>
        <v>2.9647549926474071</v>
      </c>
      <c r="AK96" s="82">
        <f t="shared" si="352"/>
        <v>3.7654423525913909</v>
      </c>
      <c r="AL96" s="82">
        <f t="shared" si="352"/>
        <v>2.8012253444253998</v>
      </c>
      <c r="AM96" s="82">
        <f t="shared" si="352"/>
        <v>3.4502060596947439</v>
      </c>
      <c r="AN96" s="83">
        <f t="shared" si="352"/>
        <v>3.2488773033520753</v>
      </c>
      <c r="AO96" s="82">
        <f t="shared" si="352"/>
        <v>3.1409984317045496</v>
      </c>
      <c r="AP96" s="82">
        <f t="shared" si="352"/>
        <v>3.4271553379920627</v>
      </c>
      <c r="AQ96" s="82">
        <f t="shared" si="352"/>
        <v>2.8392005454481137</v>
      </c>
      <c r="AR96" s="82">
        <f t="shared" si="352"/>
        <v>2.9353183042861848</v>
      </c>
      <c r="AS96" s="83">
        <f t="shared" si="352"/>
        <v>3.0884321345519927</v>
      </c>
      <c r="AT96" s="82">
        <f t="shared" si="352"/>
        <v>3.2750969385600439</v>
      </c>
      <c r="AU96" s="82">
        <f t="shared" si="352"/>
        <v>3.5610637177893691</v>
      </c>
      <c r="AV96" s="82">
        <f t="shared" si="352"/>
        <v>3.3733151751584609</v>
      </c>
      <c r="AW96" s="82">
        <f t="shared" si="352"/>
        <v>3.5767183701784471</v>
      </c>
      <c r="AX96" s="83">
        <f t="shared" si="352"/>
        <v>3.4489916588035729</v>
      </c>
      <c r="AY96" s="82">
        <f>AT96*(1+AY111)</f>
        <v>3.1768440304032426</v>
      </c>
      <c r="AZ96" s="82">
        <f t="shared" ref="AZ96" si="353">AU96*(1+AZ111)</f>
        <v>3.454231806255688</v>
      </c>
      <c r="BA96" s="82">
        <f t="shared" ref="BA96" si="354">AV96*(1+BA111)</f>
        <v>3.2721157199037072</v>
      </c>
      <c r="BB96" s="82">
        <f t="shared" ref="BB96" si="355">AW96*(1+BB111)</f>
        <v>3.4694168190730936</v>
      </c>
      <c r="BC96" s="83">
        <f t="shared" ref="BC96" si="356">BC123/BC88*1000000/BC84</f>
        <v>3.3457780862968658</v>
      </c>
      <c r="BD96" s="82">
        <f t="shared" ref="BD96" si="357">AY96*(1+BD111)</f>
        <v>3.1768440304032426</v>
      </c>
      <c r="BE96" s="82">
        <f t="shared" ref="BE96" si="358">AZ96*(1+BE111)</f>
        <v>3.454231806255688</v>
      </c>
      <c r="BF96" s="82">
        <f t="shared" ref="BF96" si="359">BA96*(1+BF111)</f>
        <v>3.2721157199037072</v>
      </c>
      <c r="BG96" s="82">
        <f t="shared" ref="BG96" si="360">BB96*(1+BG111)</f>
        <v>3.4694168190730936</v>
      </c>
      <c r="BH96" s="83">
        <f t="shared" ref="BH96" si="361">BH123/BH88*1000000/BH84</f>
        <v>3.3457780862968649</v>
      </c>
      <c r="BI96" s="83">
        <f t="shared" si="350"/>
        <v>3.3457780862968649</v>
      </c>
      <c r="BJ96" s="83">
        <f t="shared" si="350"/>
        <v>3.3457780862968649</v>
      </c>
      <c r="BK96" s="83">
        <f t="shared" si="350"/>
        <v>3.3457780862968649</v>
      </c>
      <c r="BL96" s="83">
        <f t="shared" si="350"/>
        <v>3.3457780862968649</v>
      </c>
    </row>
    <row r="97" spans="3:64" s="41" customFormat="1" ht="12.75" customHeight="1">
      <c r="C97" s="84" t="s">
        <v>286</v>
      </c>
      <c r="E97" s="83">
        <f t="shared" ref="E97:Q97" si="362">E126/E88*1000000/E84</f>
        <v>1.2774460123618336</v>
      </c>
      <c r="F97" s="83">
        <f t="shared" si="362"/>
        <v>1.2774460123618336</v>
      </c>
      <c r="G97" s="83">
        <f t="shared" si="362"/>
        <v>1.2774460123618336</v>
      </c>
      <c r="H97" s="83">
        <f t="shared" si="362"/>
        <v>1.2774460123618336</v>
      </c>
      <c r="I97" s="83">
        <f t="shared" si="362"/>
        <v>1.2774460123618336</v>
      </c>
      <c r="J97" s="83">
        <f t="shared" si="362"/>
        <v>1.2774460123618336</v>
      </c>
      <c r="K97" s="83">
        <f t="shared" si="362"/>
        <v>1.2774460123618336</v>
      </c>
      <c r="L97" s="83">
        <f t="shared" si="362"/>
        <v>1.2774460123618336</v>
      </c>
      <c r="M97" s="83">
        <f t="shared" si="362"/>
        <v>1.2774460123618336</v>
      </c>
      <c r="N97" s="83">
        <f t="shared" si="362"/>
        <v>1.2774460123618336</v>
      </c>
      <c r="O97" s="83">
        <f t="shared" si="362"/>
        <v>1.2774460123618336</v>
      </c>
      <c r="P97" s="83">
        <f t="shared" si="362"/>
        <v>1.2774460123618336</v>
      </c>
      <c r="Q97" s="83">
        <f t="shared" si="362"/>
        <v>1.2774460123618336</v>
      </c>
      <c r="R97" s="83">
        <f>R126/R88*1000000/R84</f>
        <v>1.2774460123618336</v>
      </c>
      <c r="S97" s="83">
        <f t="shared" ref="S97:AX97" si="363">S126/S88*1000000/S84</f>
        <v>1.5728156914038327</v>
      </c>
      <c r="T97" s="83">
        <f t="shared" si="363"/>
        <v>1.7671388845926925</v>
      </c>
      <c r="U97" s="82">
        <f t="shared" si="363"/>
        <v>1.8223898820913746</v>
      </c>
      <c r="V97" s="82">
        <f t="shared" si="363"/>
        <v>2.1420094098473377</v>
      </c>
      <c r="W97" s="82">
        <f t="shared" si="363"/>
        <v>2.223328689175069</v>
      </c>
      <c r="X97" s="82">
        <f t="shared" si="363"/>
        <v>2.2965179393045618</v>
      </c>
      <c r="Y97" s="83">
        <f t="shared" si="363"/>
        <v>2.0878822705824089</v>
      </c>
      <c r="Z97" s="82">
        <f t="shared" si="363"/>
        <v>2.6989460615629599</v>
      </c>
      <c r="AA97" s="82">
        <f t="shared" si="363"/>
        <v>2.4586774550453181</v>
      </c>
      <c r="AB97" s="82">
        <f t="shared" si="363"/>
        <v>0.9925850394313166</v>
      </c>
      <c r="AC97" s="82">
        <f t="shared" si="363"/>
        <v>0.91456413289525507</v>
      </c>
      <c r="AD97" s="83">
        <f t="shared" si="363"/>
        <v>1.6977978193730749</v>
      </c>
      <c r="AE97" s="82">
        <f t="shared" si="363"/>
        <v>5.9552575544675308E-2</v>
      </c>
      <c r="AF97" s="82">
        <f t="shared" si="363"/>
        <v>0.96252986730178236</v>
      </c>
      <c r="AG97" s="82">
        <f t="shared" si="363"/>
        <v>0.84771495426058241</v>
      </c>
      <c r="AH97" s="82">
        <f t="shared" si="363"/>
        <v>2.1110335632053419</v>
      </c>
      <c r="AI97" s="83">
        <f t="shared" si="363"/>
        <v>0.9956485181514193</v>
      </c>
      <c r="AJ97" s="82">
        <f t="shared" si="363"/>
        <v>2.6259258506305612</v>
      </c>
      <c r="AK97" s="82">
        <f t="shared" si="363"/>
        <v>2.8749661205596433</v>
      </c>
      <c r="AL97" s="82">
        <f t="shared" si="363"/>
        <v>3.2435240830188832</v>
      </c>
      <c r="AM97" s="82">
        <f t="shared" si="363"/>
        <v>3.0382411570446255</v>
      </c>
      <c r="AN97" s="83">
        <f t="shared" si="363"/>
        <v>2.9570619767036859</v>
      </c>
      <c r="AO97" s="82">
        <f t="shared" si="363"/>
        <v>2.9383533715945784</v>
      </c>
      <c r="AP97" s="82">
        <f t="shared" si="363"/>
        <v>3.0769350844746262</v>
      </c>
      <c r="AQ97" s="82">
        <f t="shared" si="363"/>
        <v>3.1155828994297878</v>
      </c>
      <c r="AR97" s="82">
        <f t="shared" si="363"/>
        <v>3.1527492897888645</v>
      </c>
      <c r="AS97" s="83">
        <f t="shared" si="363"/>
        <v>3.0692095279054032</v>
      </c>
      <c r="AT97" s="82">
        <f t="shared" si="363"/>
        <v>3.3612837001010969</v>
      </c>
      <c r="AU97" s="82">
        <f t="shared" si="363"/>
        <v>3.4801304514759743</v>
      </c>
      <c r="AV97" s="82">
        <f t="shared" si="363"/>
        <v>3.5592459328443597</v>
      </c>
      <c r="AW97" s="82">
        <f t="shared" si="363"/>
        <v>3.5494151765129627</v>
      </c>
      <c r="AX97" s="83">
        <f t="shared" si="363"/>
        <v>3.4900510833131393</v>
      </c>
      <c r="AY97" s="82">
        <f>AT97*(1+AY112)</f>
        <v>3.3612837001010969</v>
      </c>
      <c r="AZ97" s="82">
        <f t="shared" ref="AZ97" si="364">AU97*(1+AZ112)</f>
        <v>3.4801304514759743</v>
      </c>
      <c r="BA97" s="82">
        <f t="shared" ref="BA97" si="365">AV97*(1+BA112)</f>
        <v>3.5592459328443597</v>
      </c>
      <c r="BB97" s="82">
        <f t="shared" ref="BB97" si="366">AW97*(1+BB112)</f>
        <v>3.5494151765129627</v>
      </c>
      <c r="BC97" s="83">
        <f t="shared" ref="BC97" si="367">BC126/BC88*1000000/BC84</f>
        <v>3.4905157669761731</v>
      </c>
      <c r="BD97" s="82">
        <f t="shared" ref="BD97" si="368">AY97*(1+BD112)</f>
        <v>3.8654762551162611</v>
      </c>
      <c r="BE97" s="82">
        <f t="shared" ref="BE97" si="369">AZ97*(1+BE112)</f>
        <v>4.0021500191973702</v>
      </c>
      <c r="BF97" s="82">
        <f t="shared" ref="BF97" si="370">BA97*(1+BF112)</f>
        <v>4.0931328227710138</v>
      </c>
      <c r="BG97" s="82">
        <f t="shared" ref="BG97" si="371">BB97*(1+BG112)</f>
        <v>4.0818274529899066</v>
      </c>
      <c r="BH97" s="83">
        <f t="shared" ref="BH97" si="372">BH126/BH88*1000000/BH84</f>
        <v>4.0140931320225972</v>
      </c>
      <c r="BI97" s="83">
        <f t="shared" si="350"/>
        <v>4.0140931320225972</v>
      </c>
      <c r="BJ97" s="83">
        <f t="shared" si="350"/>
        <v>4.0140931320225972</v>
      </c>
      <c r="BK97" s="83">
        <f t="shared" si="350"/>
        <v>4.0140931320225972</v>
      </c>
      <c r="BL97" s="83">
        <f t="shared" si="350"/>
        <v>4.0140931320225972</v>
      </c>
    </row>
    <row r="98" spans="3:64" s="41" customFormat="1" ht="12.75" customHeight="1">
      <c r="C98" s="84" t="s">
        <v>283</v>
      </c>
      <c r="E98" s="232">
        <f t="shared" ref="E98:Q98" si="373">E117/E86*1000</f>
        <v>26.007607812967475</v>
      </c>
      <c r="F98" s="232">
        <f t="shared" si="373"/>
        <v>26.007607812967475</v>
      </c>
      <c r="G98" s="232">
        <f t="shared" si="373"/>
        <v>26.007607812967475</v>
      </c>
      <c r="H98" s="232">
        <f t="shared" si="373"/>
        <v>26.007607812967475</v>
      </c>
      <c r="I98" s="232">
        <f t="shared" si="373"/>
        <v>26.007607812967475</v>
      </c>
      <c r="J98" s="232">
        <f t="shared" si="373"/>
        <v>26.007607812967475</v>
      </c>
      <c r="K98" s="232">
        <f t="shared" si="373"/>
        <v>26.007607812967475</v>
      </c>
      <c r="L98" s="232">
        <f t="shared" si="373"/>
        <v>26.007607812967475</v>
      </c>
      <c r="M98" s="232">
        <f t="shared" si="373"/>
        <v>26.007607812967475</v>
      </c>
      <c r="N98" s="232">
        <f t="shared" si="373"/>
        <v>26.007607812967475</v>
      </c>
      <c r="O98" s="232">
        <f t="shared" si="373"/>
        <v>26.007607812967475</v>
      </c>
      <c r="P98" s="232">
        <f t="shared" si="373"/>
        <v>26.007607812967475</v>
      </c>
      <c r="Q98" s="232">
        <f t="shared" si="373"/>
        <v>26.007607812967475</v>
      </c>
      <c r="R98" s="232">
        <f t="shared" ref="R98:AQ98" si="374">R117/R86*1000</f>
        <v>26.007607812967475</v>
      </c>
      <c r="S98" s="232">
        <f t="shared" si="374"/>
        <v>26.856144999096767</v>
      </c>
      <c r="T98" s="232">
        <f t="shared" si="374"/>
        <v>26.600966257963929</v>
      </c>
      <c r="U98" s="231">
        <f t="shared" si="374"/>
        <v>30.699531111392727</v>
      </c>
      <c r="V98" s="231">
        <f t="shared" si="374"/>
        <v>43.273680962665843</v>
      </c>
      <c r="W98" s="231">
        <f t="shared" si="374"/>
        <v>36.05809359523677</v>
      </c>
      <c r="X98" s="231">
        <f t="shared" si="374"/>
        <v>33.700069382495784</v>
      </c>
      <c r="Y98" s="232">
        <f t="shared" si="374"/>
        <v>34.568259612709703</v>
      </c>
      <c r="Z98" s="231">
        <f t="shared" si="374"/>
        <v>31.652757888499334</v>
      </c>
      <c r="AA98" s="231">
        <f t="shared" si="374"/>
        <v>31.730153649167729</v>
      </c>
      <c r="AB98" s="231">
        <f t="shared" si="374"/>
        <v>34.748615484851776</v>
      </c>
      <c r="AC98" s="231">
        <f t="shared" si="374"/>
        <v>33.363953702002568</v>
      </c>
      <c r="AD98" s="232">
        <f t="shared" si="374"/>
        <v>32.991956836688814</v>
      </c>
      <c r="AE98" s="231">
        <f t="shared" si="374"/>
        <v>35.302396497126551</v>
      </c>
      <c r="AF98" s="231">
        <f t="shared" si="374"/>
        <v>34.362139917695472</v>
      </c>
      <c r="AG98" s="231">
        <f t="shared" si="374"/>
        <v>36.320102519138032</v>
      </c>
      <c r="AH98" s="231">
        <f t="shared" si="374"/>
        <v>40.121313991303396</v>
      </c>
      <c r="AI98" s="232">
        <f t="shared" si="374"/>
        <v>36.507126942796553</v>
      </c>
      <c r="AJ98" s="231">
        <f t="shared" si="374"/>
        <v>37.268194698518599</v>
      </c>
      <c r="AK98" s="231">
        <f t="shared" si="374"/>
        <v>35.079614401429062</v>
      </c>
      <c r="AL98" s="231">
        <f t="shared" si="374"/>
        <v>36.203979228659783</v>
      </c>
      <c r="AM98" s="231">
        <f t="shared" si="374"/>
        <v>38.020203341070321</v>
      </c>
      <c r="AN98" s="232">
        <f t="shared" si="374"/>
        <v>36.593059936908517</v>
      </c>
      <c r="AO98" s="231">
        <f t="shared" si="374"/>
        <v>37.696335078534034</v>
      </c>
      <c r="AP98" s="231">
        <f t="shared" si="374"/>
        <v>37.217531661286316</v>
      </c>
      <c r="AQ98" s="231">
        <f t="shared" si="374"/>
        <v>36.766280243477198</v>
      </c>
      <c r="AR98" s="231">
        <f>AR117/AR86*1000</f>
        <v>40.036862584476758</v>
      </c>
      <c r="AS98" s="232">
        <f t="shared" ref="AS98:BL98" si="375">AS117/AS86*1000</f>
        <v>37.878605721064062</v>
      </c>
      <c r="AT98" s="231">
        <f t="shared" si="375"/>
        <v>38.403343180344407</v>
      </c>
      <c r="AU98" s="231">
        <f t="shared" si="375"/>
        <v>36.5928559883627</v>
      </c>
      <c r="AV98" s="231">
        <f t="shared" si="375"/>
        <v>36.180810074241144</v>
      </c>
      <c r="AW98" s="231">
        <f t="shared" si="375"/>
        <v>38.396229684305368</v>
      </c>
      <c r="AX98" s="232">
        <f t="shared" si="375"/>
        <v>37.338980355394106</v>
      </c>
      <c r="AY98" s="231">
        <f t="shared" si="375"/>
        <v>36.031348133900124</v>
      </c>
      <c r="AZ98" s="231">
        <f t="shared" si="375"/>
        <v>34.351598356936414</v>
      </c>
      <c r="BA98" s="231">
        <f t="shared" si="375"/>
        <v>33.971130679577691</v>
      </c>
      <c r="BB98" s="231">
        <f t="shared" si="375"/>
        <v>36.019256213295691</v>
      </c>
      <c r="BC98" s="232">
        <f t="shared" si="375"/>
        <v>35.04285228818101</v>
      </c>
      <c r="BD98" s="231">
        <f t="shared" si="375"/>
        <v>34.950407689883114</v>
      </c>
      <c r="BE98" s="231">
        <f t="shared" si="375"/>
        <v>33.321050406228323</v>
      </c>
      <c r="BF98" s="231">
        <f t="shared" si="375"/>
        <v>32.951996759190358</v>
      </c>
      <c r="BG98" s="231">
        <f t="shared" si="375"/>
        <v>34.938678526896808</v>
      </c>
      <c r="BH98" s="232">
        <f t="shared" si="375"/>
        <v>33.991566719535577</v>
      </c>
      <c r="BI98" s="232">
        <f t="shared" si="375"/>
        <v>32.97770438352817</v>
      </c>
      <c r="BJ98" s="232">
        <f t="shared" si="375"/>
        <v>31.988373252022328</v>
      </c>
      <c r="BK98" s="232">
        <f t="shared" si="375"/>
        <v>31.028722054461653</v>
      </c>
      <c r="BL98" s="232">
        <f t="shared" si="375"/>
        <v>30.097860392827801</v>
      </c>
    </row>
    <row r="99" spans="3:64" s="41" customFormat="1" ht="12.75" customHeight="1">
      <c r="C99" s="84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1"/>
      <c r="V99" s="231"/>
      <c r="W99" s="231"/>
      <c r="X99" s="231"/>
      <c r="Y99" s="232"/>
      <c r="Z99" s="231"/>
      <c r="AA99" s="231"/>
      <c r="AB99" s="231"/>
      <c r="AC99" s="231"/>
      <c r="AD99" s="232"/>
      <c r="AE99" s="231"/>
      <c r="AF99" s="231"/>
      <c r="AG99" s="231"/>
      <c r="AH99" s="231"/>
      <c r="AI99" s="232"/>
      <c r="AJ99" s="231"/>
      <c r="AK99" s="231"/>
      <c r="AL99" s="231"/>
      <c r="AM99" s="231"/>
      <c r="AN99" s="232"/>
      <c r="AO99" s="231"/>
      <c r="AP99" s="231"/>
      <c r="AQ99" s="231"/>
      <c r="AR99" s="231"/>
      <c r="AS99" s="232"/>
      <c r="AT99" s="231"/>
      <c r="AU99" s="231"/>
      <c r="AV99" s="231"/>
      <c r="AW99" s="231"/>
      <c r="AX99" s="232"/>
      <c r="AY99" s="231"/>
      <c r="AZ99" s="231"/>
      <c r="BA99" s="231"/>
      <c r="BB99" s="231"/>
      <c r="BC99" s="232"/>
      <c r="BD99" s="231"/>
      <c r="BE99" s="231"/>
      <c r="BF99" s="231"/>
      <c r="BG99" s="231"/>
      <c r="BH99" s="232"/>
      <c r="BI99" s="232"/>
      <c r="BJ99" s="232"/>
      <c r="BK99" s="232"/>
      <c r="BL99" s="232"/>
    </row>
    <row r="100" spans="3:64" s="41" customFormat="1" ht="12.75" customHeight="1">
      <c r="C100" s="41" t="s">
        <v>12</v>
      </c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14"/>
      <c r="V100" s="14"/>
      <c r="W100" s="14"/>
      <c r="X100" s="14"/>
      <c r="Y100" s="56"/>
      <c r="Z100" s="14"/>
      <c r="AA100" s="14"/>
      <c r="AB100" s="14"/>
      <c r="AC100" s="14"/>
      <c r="AD100" s="56"/>
      <c r="AE100" s="14"/>
      <c r="AF100" s="14"/>
      <c r="AG100" s="14"/>
      <c r="AH100" s="14"/>
      <c r="AI100" s="56"/>
      <c r="AJ100" s="14"/>
      <c r="AK100" s="14"/>
      <c r="AL100" s="14"/>
      <c r="AM100" s="14"/>
      <c r="AN100" s="56"/>
      <c r="AO100" s="14"/>
      <c r="AP100" s="14"/>
      <c r="AQ100" s="14"/>
      <c r="AR100" s="14"/>
      <c r="AS100" s="56"/>
      <c r="AT100" s="14"/>
      <c r="AU100" s="14"/>
      <c r="AV100" s="14"/>
      <c r="AW100" s="14"/>
      <c r="AX100" s="56"/>
      <c r="AY100" s="165"/>
      <c r="AZ100" s="165"/>
      <c r="BA100" s="165"/>
      <c r="BB100" s="165"/>
      <c r="BC100" s="56"/>
      <c r="BD100" s="165"/>
      <c r="BE100" s="165"/>
      <c r="BF100" s="165"/>
      <c r="BG100" s="165"/>
      <c r="BH100" s="56"/>
      <c r="BI100" s="166"/>
      <c r="BJ100" s="166"/>
      <c r="BK100" s="166"/>
      <c r="BL100" s="166"/>
    </row>
    <row r="101" spans="3:64" s="41" customFormat="1" ht="12.75" customHeight="1">
      <c r="C101" s="84" t="s">
        <v>276</v>
      </c>
      <c r="E101" s="56"/>
      <c r="F101" s="56">
        <f t="shared" ref="F101:Q101" si="376">F85/E85-1</f>
        <v>0</v>
      </c>
      <c r="G101" s="56">
        <f t="shared" si="376"/>
        <v>0</v>
      </c>
      <c r="H101" s="56">
        <f t="shared" si="376"/>
        <v>0</v>
      </c>
      <c r="I101" s="56">
        <f t="shared" si="376"/>
        <v>0</v>
      </c>
      <c r="J101" s="56">
        <f t="shared" si="376"/>
        <v>0</v>
      </c>
      <c r="K101" s="56">
        <f t="shared" si="376"/>
        <v>0</v>
      </c>
      <c r="L101" s="56">
        <f t="shared" si="376"/>
        <v>0</v>
      </c>
      <c r="M101" s="56">
        <f t="shared" si="376"/>
        <v>0</v>
      </c>
      <c r="N101" s="56">
        <f t="shared" si="376"/>
        <v>0</v>
      </c>
      <c r="O101" s="56">
        <f t="shared" si="376"/>
        <v>0</v>
      </c>
      <c r="P101" s="56">
        <f t="shared" si="376"/>
        <v>0</v>
      </c>
      <c r="Q101" s="56">
        <f t="shared" si="376"/>
        <v>0</v>
      </c>
      <c r="R101" s="56">
        <f t="shared" ref="R101:R108" si="377">R85/Q85-1</f>
        <v>0</v>
      </c>
      <c r="S101" s="56">
        <f t="shared" ref="S101:T108" si="378">S85/R85-1</f>
        <v>4.5801526717557328E-2</v>
      </c>
      <c r="T101" s="56">
        <f t="shared" si="378"/>
        <v>5.5196291181692558E-2</v>
      </c>
      <c r="U101" s="14"/>
      <c r="V101" s="14"/>
      <c r="W101" s="14"/>
      <c r="X101" s="14"/>
      <c r="Y101" s="56">
        <f t="shared" ref="Y101:AH108" si="379">Y85/T85-1</f>
        <v>-0.20602805904098087</v>
      </c>
      <c r="Z101" s="14">
        <f t="shared" si="379"/>
        <v>-0.43469720144485846</v>
      </c>
      <c r="AA101" s="14">
        <f t="shared" si="379"/>
        <v>-0.3154826429152503</v>
      </c>
      <c r="AB101" s="14">
        <f t="shared" si="379"/>
        <v>-1.0936582696450814E-2</v>
      </c>
      <c r="AC101" s="14">
        <f t="shared" si="379"/>
        <v>0.23559693208533017</v>
      </c>
      <c r="AD101" s="56">
        <f t="shared" si="379"/>
        <v>-0.18620452692688594</v>
      </c>
      <c r="AE101" s="14">
        <f t="shared" si="379"/>
        <v>0.25889977463800373</v>
      </c>
      <c r="AF101" s="14">
        <f t="shared" si="379"/>
        <v>0.16108673543512997</v>
      </c>
      <c r="AG101" s="14">
        <f t="shared" si="379"/>
        <v>6.758056112116817E-2</v>
      </c>
      <c r="AH101" s="14">
        <f t="shared" si="379"/>
        <v>6.212781665101641E-3</v>
      </c>
      <c r="AI101" s="56">
        <f t="shared" ref="AI101:AR108" si="380">AI85/AD85-1</f>
        <v>0.11476539036732825</v>
      </c>
      <c r="AJ101" s="14">
        <f t="shared" si="380"/>
        <v>5.4559389848132245E-2</v>
      </c>
      <c r="AK101" s="14">
        <f t="shared" si="380"/>
        <v>8.0915843318618119E-2</v>
      </c>
      <c r="AL101" s="14">
        <f t="shared" si="380"/>
        <v>0.11287133196473853</v>
      </c>
      <c r="AM101" s="14">
        <f t="shared" si="380"/>
        <v>0.1387343110624375</v>
      </c>
      <c r="AN101" s="56">
        <f t="shared" si="380"/>
        <v>9.6954722987613096E-2</v>
      </c>
      <c r="AO101" s="14">
        <f t="shared" si="380"/>
        <v>0.11468838448523933</v>
      </c>
      <c r="AP101" s="14">
        <f t="shared" si="380"/>
        <v>1.7047098890769163E-2</v>
      </c>
      <c r="AQ101" s="14">
        <f t="shared" si="380"/>
        <v>-2.2029917283255651E-2</v>
      </c>
      <c r="AR101" s="14">
        <f t="shared" si="380"/>
        <v>-5.2653646172614366E-2</v>
      </c>
      <c r="AS101" s="56">
        <f t="shared" ref="AS101:AX108" si="381">AS85/AN85-1</f>
        <v>1.1606254078497802E-2</v>
      </c>
      <c r="AT101" s="14">
        <f t="shared" si="381"/>
        <v>-0.1182880504792897</v>
      </c>
      <c r="AU101" s="14">
        <f t="shared" si="381"/>
        <v>-7.2727438285937973E-2</v>
      </c>
      <c r="AV101" s="14">
        <f t="shared" si="381"/>
        <v>-5.4058177379983752E-2</v>
      </c>
      <c r="AW101" s="14">
        <f t="shared" si="381"/>
        <v>-4.5533309829043356E-3</v>
      </c>
      <c r="AX101" s="56">
        <f t="shared" si="381"/>
        <v>-6.3417695595919699E-2</v>
      </c>
      <c r="AY101" s="58"/>
      <c r="AZ101" s="58"/>
      <c r="BA101" s="58"/>
      <c r="BB101" s="58"/>
      <c r="BC101" s="56">
        <f t="shared" ref="BC101:BC108" si="382">BC85/AX85-1</f>
        <v>1.5082055146647289E-2</v>
      </c>
      <c r="BD101" s="58"/>
      <c r="BE101" s="58"/>
      <c r="BF101" s="58"/>
      <c r="BG101" s="58"/>
      <c r="BH101" s="56">
        <f t="shared" ref="BH101:BH108" si="383">BH85/BC85-1</f>
        <v>2.000000000000024E-2</v>
      </c>
      <c r="BI101" s="57"/>
      <c r="BJ101" s="57"/>
      <c r="BK101" s="57"/>
      <c r="BL101" s="57"/>
    </row>
    <row r="102" spans="3:64" s="41" customFormat="1" ht="12.75" customHeight="1">
      <c r="C102" s="84" t="s">
        <v>268</v>
      </c>
      <c r="E102" s="56"/>
      <c r="F102" s="56">
        <f t="shared" ref="F102:Q102" si="384">F86/E86-1</f>
        <v>0</v>
      </c>
      <c r="G102" s="56">
        <f t="shared" si="384"/>
        <v>0</v>
      </c>
      <c r="H102" s="56">
        <f t="shared" si="384"/>
        <v>0</v>
      </c>
      <c r="I102" s="56">
        <f t="shared" si="384"/>
        <v>0</v>
      </c>
      <c r="J102" s="56">
        <f t="shared" si="384"/>
        <v>0</v>
      </c>
      <c r="K102" s="56">
        <f t="shared" si="384"/>
        <v>0</v>
      </c>
      <c r="L102" s="56">
        <f t="shared" si="384"/>
        <v>0</v>
      </c>
      <c r="M102" s="56">
        <f t="shared" si="384"/>
        <v>0</v>
      </c>
      <c r="N102" s="56">
        <f t="shared" si="384"/>
        <v>0</v>
      </c>
      <c r="O102" s="56">
        <f t="shared" si="384"/>
        <v>0</v>
      </c>
      <c r="P102" s="56">
        <f t="shared" si="384"/>
        <v>0</v>
      </c>
      <c r="Q102" s="56">
        <f t="shared" si="384"/>
        <v>0</v>
      </c>
      <c r="R102" s="56">
        <f t="shared" si="377"/>
        <v>0</v>
      </c>
      <c r="S102" s="56">
        <f t="shared" si="378"/>
        <v>6.4687780484677493E-2</v>
      </c>
      <c r="T102" s="56">
        <f t="shared" si="378"/>
        <v>4.2793199654764136E-2</v>
      </c>
      <c r="U102" s="14"/>
      <c r="V102" s="14"/>
      <c r="W102" s="14"/>
      <c r="X102" s="14"/>
      <c r="Y102" s="56">
        <f t="shared" si="379"/>
        <v>-0.46953977633630395</v>
      </c>
      <c r="Z102" s="14">
        <f t="shared" si="379"/>
        <v>-0.35841464960081104</v>
      </c>
      <c r="AA102" s="14">
        <f t="shared" si="379"/>
        <v>0.92780006170934892</v>
      </c>
      <c r="AB102" s="14">
        <f t="shared" si="379"/>
        <v>0.53731011073396018</v>
      </c>
      <c r="AC102" s="14">
        <f t="shared" si="379"/>
        <v>0.34874615918326901</v>
      </c>
      <c r="AD102" s="56">
        <f t="shared" si="379"/>
        <v>0.21055432587055645</v>
      </c>
      <c r="AE102" s="14">
        <f t="shared" si="379"/>
        <v>0.26309811861142651</v>
      </c>
      <c r="AF102" s="14">
        <f t="shared" si="379"/>
        <v>0.16677336747759286</v>
      </c>
      <c r="AG102" s="14">
        <f t="shared" si="379"/>
        <v>7.3334057262822494E-2</v>
      </c>
      <c r="AH102" s="14">
        <f t="shared" si="379"/>
        <v>5.5851552452692577E-3</v>
      </c>
      <c r="AI102" s="56">
        <f t="shared" si="380"/>
        <v>0.11664085527301804</v>
      </c>
      <c r="AJ102" s="14">
        <f t="shared" si="380"/>
        <v>8.9917510457797389E-2</v>
      </c>
      <c r="AK102" s="14">
        <f t="shared" si="380"/>
        <v>0.11347736625514404</v>
      </c>
      <c r="AL102" s="14">
        <f t="shared" si="380"/>
        <v>0.15597072808822032</v>
      </c>
      <c r="AM102" s="14">
        <f t="shared" si="380"/>
        <v>0.11773303613841479</v>
      </c>
      <c r="AN102" s="56">
        <f t="shared" si="380"/>
        <v>0.12040193630938001</v>
      </c>
      <c r="AO102" s="14">
        <f t="shared" si="380"/>
        <v>9.6165572653251541E-2</v>
      </c>
      <c r="AP102" s="14">
        <f t="shared" si="380"/>
        <v>-7.7920477994394277E-3</v>
      </c>
      <c r="AQ102" s="14">
        <f t="shared" si="380"/>
        <v>-4.6239570570044908E-2</v>
      </c>
      <c r="AR102" s="14">
        <f t="shared" si="380"/>
        <v>-4.2204714112916375E-2</v>
      </c>
      <c r="AS102" s="56">
        <f t="shared" si="381"/>
        <v>-3.577846104699911E-3</v>
      </c>
      <c r="AT102" s="14">
        <f t="shared" si="381"/>
        <v>-9.1688481675392675E-2</v>
      </c>
      <c r="AU102" s="14">
        <f t="shared" si="381"/>
        <v>-3.9762850757387613E-2</v>
      </c>
      <c r="AV102" s="14">
        <f t="shared" si="381"/>
        <v>-2.3552442418866448E-2</v>
      </c>
      <c r="AW102" s="14">
        <f t="shared" si="381"/>
        <v>-1.5052221994675374E-2</v>
      </c>
      <c r="AX102" s="56">
        <f t="shared" si="381"/>
        <v>-4.2431091554657852E-2</v>
      </c>
      <c r="AY102" s="14">
        <f>AY86/AT86-1</f>
        <v>2.2665253728654688E-2</v>
      </c>
      <c r="AZ102" s="14">
        <f>AZ86/AU86-1</f>
        <v>2.2102231052206101E-2</v>
      </c>
      <c r="BA102" s="14">
        <f>BA86/AV86-1</f>
        <v>3.2029380847664601E-2</v>
      </c>
      <c r="BB102" s="14">
        <f>BB86/AW86-1</f>
        <v>3.2945998211872274E-2</v>
      </c>
      <c r="BC102" s="56">
        <f t="shared" si="382"/>
        <v>2.7504718436801578E-2</v>
      </c>
      <c r="BD102" s="14">
        <f>BD86/AY86-1</f>
        <v>2.000000000000024E-2</v>
      </c>
      <c r="BE102" s="14">
        <f>BE86/AZ86-1</f>
        <v>2.0000000000000018E-2</v>
      </c>
      <c r="BF102" s="14">
        <f>BF86/BA86-1</f>
        <v>2.0000000000000018E-2</v>
      </c>
      <c r="BG102" s="14">
        <f>BG86/BB86-1</f>
        <v>2.000000000000024E-2</v>
      </c>
      <c r="BH102" s="56">
        <f t="shared" si="383"/>
        <v>2.0000000000000018E-2</v>
      </c>
      <c r="BI102" s="56">
        <f>BI86/BH86-1</f>
        <v>2.2612009247609643E-2</v>
      </c>
      <c r="BJ102" s="56">
        <f>BJ86/BI86-1</f>
        <v>1.7213114754098369E-2</v>
      </c>
      <c r="BK102" s="56">
        <f>BK86/BJ86-1</f>
        <v>2.0000000000000018E-2</v>
      </c>
      <c r="BL102" s="56">
        <f>BL86/BK86-1</f>
        <v>2.0000000000000018E-2</v>
      </c>
    </row>
    <row r="103" spans="3:64" s="41" customFormat="1" ht="12.75" customHeight="1">
      <c r="C103" s="84" t="s">
        <v>269</v>
      </c>
      <c r="E103" s="56"/>
      <c r="F103" s="56">
        <f t="shared" ref="F103:Q103" si="385">F87/E87-1</f>
        <v>0</v>
      </c>
      <c r="G103" s="56">
        <f t="shared" si="385"/>
        <v>0</v>
      </c>
      <c r="H103" s="56">
        <f t="shared" si="385"/>
        <v>0</v>
      </c>
      <c r="I103" s="56">
        <f t="shared" si="385"/>
        <v>0</v>
      </c>
      <c r="J103" s="56">
        <f t="shared" si="385"/>
        <v>0</v>
      </c>
      <c r="K103" s="56">
        <f t="shared" si="385"/>
        <v>0</v>
      </c>
      <c r="L103" s="56">
        <f t="shared" si="385"/>
        <v>0</v>
      </c>
      <c r="M103" s="56">
        <f t="shared" si="385"/>
        <v>0</v>
      </c>
      <c r="N103" s="56">
        <f t="shared" si="385"/>
        <v>0</v>
      </c>
      <c r="O103" s="56">
        <f t="shared" si="385"/>
        <v>0</v>
      </c>
      <c r="P103" s="56">
        <f t="shared" si="385"/>
        <v>0</v>
      </c>
      <c r="Q103" s="56">
        <f t="shared" si="385"/>
        <v>0</v>
      </c>
      <c r="R103" s="56">
        <f t="shared" si="377"/>
        <v>0</v>
      </c>
      <c r="S103" s="56">
        <f t="shared" si="378"/>
        <v>4.5801526717557328E-2</v>
      </c>
      <c r="T103" s="56">
        <f t="shared" si="378"/>
        <v>5.5196291181692558E-2</v>
      </c>
      <c r="U103" s="14"/>
      <c r="V103" s="14"/>
      <c r="W103" s="14"/>
      <c r="X103" s="14"/>
      <c r="Y103" s="56">
        <f t="shared" si="379"/>
        <v>-0.20731184062189767</v>
      </c>
      <c r="Z103" s="14">
        <f t="shared" si="379"/>
        <v>-0.42032858961008912</v>
      </c>
      <c r="AA103" s="14">
        <f t="shared" si="379"/>
        <v>-0.30360428273361406</v>
      </c>
      <c r="AB103" s="14">
        <f t="shared" si="379"/>
        <v>2.9021657993374861E-2</v>
      </c>
      <c r="AC103" s="14">
        <f t="shared" si="379"/>
        <v>0.2894497674247023</v>
      </c>
      <c r="AD103" s="56">
        <f t="shared" si="379"/>
        <v>-0.16119457372157153</v>
      </c>
      <c r="AE103" s="14">
        <f t="shared" si="379"/>
        <v>0.32272808925969532</v>
      </c>
      <c r="AF103" s="14">
        <f t="shared" si="379"/>
        <v>0.20561689925226068</v>
      </c>
      <c r="AG103" s="14">
        <f t="shared" si="379"/>
        <v>9.86865203114351E-2</v>
      </c>
      <c r="AH103" s="14">
        <f t="shared" si="379"/>
        <v>3.7368787907160694E-2</v>
      </c>
      <c r="AI103" s="56">
        <f t="shared" si="380"/>
        <v>0.1557731402204996</v>
      </c>
      <c r="AJ103" s="14">
        <f t="shared" si="380"/>
        <v>3.8637392485287414E-2</v>
      </c>
      <c r="AK103" s="14">
        <f t="shared" si="380"/>
        <v>8.3607943844420829E-2</v>
      </c>
      <c r="AL103" s="14">
        <f t="shared" si="380"/>
        <v>9.9437024784067463E-2</v>
      </c>
      <c r="AM103" s="14">
        <f t="shared" si="380"/>
        <v>0.1196234267662839</v>
      </c>
      <c r="AN103" s="56">
        <f t="shared" si="380"/>
        <v>8.5566805276035884E-2</v>
      </c>
      <c r="AO103" s="14">
        <f t="shared" si="380"/>
        <v>9.1049752653256988E-2</v>
      </c>
      <c r="AP103" s="14">
        <f t="shared" si="380"/>
        <v>2.2863764060296665E-2</v>
      </c>
      <c r="AQ103" s="14">
        <f t="shared" si="380"/>
        <v>-9.5081168414843376E-3</v>
      </c>
      <c r="AR103" s="14">
        <f t="shared" si="380"/>
        <v>-3.0597461109381885E-2</v>
      </c>
      <c r="AS103" s="56">
        <f t="shared" si="381"/>
        <v>1.6778186956300178E-2</v>
      </c>
      <c r="AT103" s="14">
        <f t="shared" si="381"/>
        <v>-8.2568216873619815E-2</v>
      </c>
      <c r="AU103" s="14">
        <f t="shared" si="381"/>
        <v>-6.8665399914077385E-2</v>
      </c>
      <c r="AV103" s="14">
        <f t="shared" si="381"/>
        <v>-8.2989727423958937E-2</v>
      </c>
      <c r="AW103" s="14">
        <f t="shared" si="381"/>
        <v>-4.075914337655262E-2</v>
      </c>
      <c r="AX103" s="56">
        <f t="shared" si="381"/>
        <v>-6.9118548134695201E-2</v>
      </c>
      <c r="AY103" s="58"/>
      <c r="AZ103" s="58"/>
      <c r="BA103" s="58"/>
      <c r="BB103" s="58"/>
      <c r="BC103" s="56">
        <f t="shared" si="382"/>
        <v>1.4973807051792853E-2</v>
      </c>
      <c r="BD103" s="58"/>
      <c r="BE103" s="58"/>
      <c r="BF103" s="58"/>
      <c r="BG103" s="58"/>
      <c r="BH103" s="56">
        <f t="shared" si="383"/>
        <v>2.0000000000000018E-2</v>
      </c>
      <c r="BI103" s="57"/>
      <c r="BJ103" s="57"/>
      <c r="BK103" s="57"/>
      <c r="BL103" s="57"/>
    </row>
    <row r="104" spans="3:64" s="41" customFormat="1" ht="12.75" customHeight="1">
      <c r="C104" s="84" t="s">
        <v>270</v>
      </c>
      <c r="E104" s="56"/>
      <c r="F104" s="56">
        <f t="shared" ref="F104:Q104" si="386">F88/E88-1</f>
        <v>0</v>
      </c>
      <c r="G104" s="56">
        <f t="shared" si="386"/>
        <v>0</v>
      </c>
      <c r="H104" s="56">
        <f t="shared" si="386"/>
        <v>0</v>
      </c>
      <c r="I104" s="56">
        <f t="shared" si="386"/>
        <v>0</v>
      </c>
      <c r="J104" s="56">
        <f t="shared" si="386"/>
        <v>0</v>
      </c>
      <c r="K104" s="56">
        <f t="shared" si="386"/>
        <v>0</v>
      </c>
      <c r="L104" s="56">
        <f t="shared" si="386"/>
        <v>0</v>
      </c>
      <c r="M104" s="56">
        <f t="shared" si="386"/>
        <v>0</v>
      </c>
      <c r="N104" s="56">
        <f t="shared" si="386"/>
        <v>0</v>
      </c>
      <c r="O104" s="56">
        <f t="shared" si="386"/>
        <v>0</v>
      </c>
      <c r="P104" s="56">
        <f t="shared" si="386"/>
        <v>0</v>
      </c>
      <c r="Q104" s="56">
        <f t="shared" si="386"/>
        <v>0</v>
      </c>
      <c r="R104" s="56">
        <f t="shared" si="377"/>
        <v>0</v>
      </c>
      <c r="S104" s="56">
        <f t="shared" si="378"/>
        <v>4.5801526717557328E-2</v>
      </c>
      <c r="T104" s="56">
        <f t="shared" si="378"/>
        <v>5.5196291181692558E-2</v>
      </c>
      <c r="U104" s="14"/>
      <c r="V104" s="14"/>
      <c r="W104" s="14"/>
      <c r="X104" s="14"/>
      <c r="Y104" s="56">
        <f t="shared" si="379"/>
        <v>-0.20731184062189767</v>
      </c>
      <c r="Z104" s="14">
        <f t="shared" si="379"/>
        <v>-0.42841605923869031</v>
      </c>
      <c r="AA104" s="14">
        <f t="shared" si="379"/>
        <v>-0.3154826429152503</v>
      </c>
      <c r="AB104" s="14">
        <f t="shared" si="379"/>
        <v>-1.0936582696450703E-2</v>
      </c>
      <c r="AC104" s="14">
        <f t="shared" si="379"/>
        <v>0.23559693208533017</v>
      </c>
      <c r="AD104" s="56">
        <f t="shared" si="379"/>
        <v>-0.18552638639031727</v>
      </c>
      <c r="AE104" s="14">
        <f t="shared" si="379"/>
        <v>0.25889977463800395</v>
      </c>
      <c r="AF104" s="14">
        <f t="shared" si="379"/>
        <v>0.16108673543512997</v>
      </c>
      <c r="AG104" s="14">
        <f t="shared" si="379"/>
        <v>6.7580561121167948E-2</v>
      </c>
      <c r="AH104" s="14">
        <f t="shared" si="379"/>
        <v>6.2127816651014189E-3</v>
      </c>
      <c r="AI104" s="56">
        <f t="shared" si="380"/>
        <v>0.11556320684098287</v>
      </c>
      <c r="AJ104" s="14">
        <f t="shared" si="380"/>
        <v>5.4559389848132023E-2</v>
      </c>
      <c r="AK104" s="14">
        <f t="shared" si="380"/>
        <v>8.0915843318618119E-2</v>
      </c>
      <c r="AL104" s="14">
        <f t="shared" si="380"/>
        <v>0.11287133196473853</v>
      </c>
      <c r="AM104" s="14">
        <f t="shared" si="380"/>
        <v>0.1387343110624375</v>
      </c>
      <c r="AN104" s="56">
        <f t="shared" si="380"/>
        <v>9.6686334162258136E-2</v>
      </c>
      <c r="AO104" s="14">
        <f t="shared" si="380"/>
        <v>0.10243906157880822</v>
      </c>
      <c r="AP104" s="14">
        <f t="shared" si="380"/>
        <v>1.7047098890769385E-2</v>
      </c>
      <c r="AQ104" s="14">
        <f t="shared" si="380"/>
        <v>-2.2029917283255651E-2</v>
      </c>
      <c r="AR104" s="14">
        <f t="shared" si="380"/>
        <v>-5.2653646172614366E-2</v>
      </c>
      <c r="AS104" s="56">
        <f t="shared" si="381"/>
        <v>9.2908568997378538E-3</v>
      </c>
      <c r="AT104" s="14">
        <f t="shared" si="381"/>
        <v>-0.10849125104017077</v>
      </c>
      <c r="AU104" s="14">
        <f t="shared" si="381"/>
        <v>-7.2727438285937973E-2</v>
      </c>
      <c r="AV104" s="14">
        <f t="shared" si="381"/>
        <v>-5.4058177379983752E-2</v>
      </c>
      <c r="AW104" s="14">
        <f t="shared" si="381"/>
        <v>-4.5533309829043356E-3</v>
      </c>
      <c r="AX104" s="56">
        <f t="shared" si="381"/>
        <v>-6.1103678263082162E-2</v>
      </c>
      <c r="AY104" s="165">
        <v>0.01</v>
      </c>
      <c r="AZ104" s="165">
        <v>0.01</v>
      </c>
      <c r="BA104" s="165">
        <v>0.02</v>
      </c>
      <c r="BB104" s="165">
        <v>0.02</v>
      </c>
      <c r="BC104" s="56">
        <f t="shared" si="382"/>
        <v>1.5041322675298785E-2</v>
      </c>
      <c r="BD104" s="165">
        <v>0.02</v>
      </c>
      <c r="BE104" s="165">
        <v>0.02</v>
      </c>
      <c r="BF104" s="165">
        <v>0.02</v>
      </c>
      <c r="BG104" s="165">
        <v>0.02</v>
      </c>
      <c r="BH104" s="56">
        <f t="shared" si="383"/>
        <v>2.000000000000024E-2</v>
      </c>
      <c r="BI104" s="166">
        <v>0.02</v>
      </c>
      <c r="BJ104" s="166">
        <v>0.02</v>
      </c>
      <c r="BK104" s="166">
        <v>0.02</v>
      </c>
      <c r="BL104" s="166">
        <v>0.02</v>
      </c>
    </row>
    <row r="105" spans="3:64" s="41" customFormat="1" ht="12.75" customHeight="1">
      <c r="C105" s="41" t="s">
        <v>271</v>
      </c>
      <c r="E105" s="57"/>
      <c r="F105" s="57">
        <f t="shared" ref="F105:Q105" si="387">F89/E89-1</f>
        <v>0</v>
      </c>
      <c r="G105" s="57">
        <f t="shared" si="387"/>
        <v>0</v>
      </c>
      <c r="H105" s="57">
        <f t="shared" si="387"/>
        <v>0</v>
      </c>
      <c r="I105" s="57">
        <f t="shared" si="387"/>
        <v>0</v>
      </c>
      <c r="J105" s="57">
        <f t="shared" si="387"/>
        <v>0</v>
      </c>
      <c r="K105" s="57">
        <f t="shared" si="387"/>
        <v>0</v>
      </c>
      <c r="L105" s="57">
        <f t="shared" si="387"/>
        <v>0</v>
      </c>
      <c r="M105" s="57">
        <f t="shared" si="387"/>
        <v>0</v>
      </c>
      <c r="N105" s="57">
        <f t="shared" si="387"/>
        <v>0</v>
      </c>
      <c r="O105" s="57">
        <f t="shared" si="387"/>
        <v>0</v>
      </c>
      <c r="P105" s="57">
        <f t="shared" si="387"/>
        <v>0</v>
      </c>
      <c r="Q105" s="57">
        <f t="shared" si="387"/>
        <v>0</v>
      </c>
      <c r="R105" s="57">
        <f t="shared" si="377"/>
        <v>0</v>
      </c>
      <c r="S105" s="57">
        <f t="shared" si="378"/>
        <v>1.8059118565640464E-2</v>
      </c>
      <c r="T105" s="57">
        <f t="shared" si="378"/>
        <v>-1.175429787858584E-2</v>
      </c>
      <c r="U105" s="58"/>
      <c r="V105" s="58"/>
      <c r="W105" s="58"/>
      <c r="X105" s="58"/>
      <c r="Y105" s="57">
        <f t="shared" si="379"/>
        <v>-0.33189046577267423</v>
      </c>
      <c r="Z105" s="58">
        <f t="shared" si="379"/>
        <v>0.13494104759257897</v>
      </c>
      <c r="AA105" s="58">
        <f t="shared" si="379"/>
        <v>1.8162909848181816</v>
      </c>
      <c r="AB105" s="58">
        <f t="shared" si="379"/>
        <v>0.55430893898095834</v>
      </c>
      <c r="AC105" s="58">
        <f t="shared" si="379"/>
        <v>9.1574545193290113E-2</v>
      </c>
      <c r="AD105" s="57">
        <f t="shared" si="379"/>
        <v>0.48754123846274622</v>
      </c>
      <c r="AE105" s="58">
        <f t="shared" si="379"/>
        <v>3.334931070767766E-3</v>
      </c>
      <c r="AF105" s="58">
        <f t="shared" si="379"/>
        <v>4.8976806546081608E-3</v>
      </c>
      <c r="AG105" s="58">
        <f t="shared" si="379"/>
        <v>5.3892852222900967E-3</v>
      </c>
      <c r="AH105" s="58">
        <f t="shared" si="379"/>
        <v>-6.2375118987645362E-4</v>
      </c>
      <c r="AI105" s="57">
        <f t="shared" si="380"/>
        <v>1.6823852999883204E-3</v>
      </c>
      <c r="AJ105" s="58">
        <f t="shared" si="380"/>
        <v>3.3528809235444879E-2</v>
      </c>
      <c r="AK105" s="58">
        <f t="shared" si="380"/>
        <v>3.0124013018955953E-2</v>
      </c>
      <c r="AL105" s="58">
        <f t="shared" si="380"/>
        <v>3.8728103497275956E-2</v>
      </c>
      <c r="AM105" s="58">
        <f t="shared" si="380"/>
        <v>-1.8442646998515722E-2</v>
      </c>
      <c r="AN105" s="57">
        <f t="shared" si="380"/>
        <v>2.1374823254242559E-2</v>
      </c>
      <c r="AO105" s="58">
        <f t="shared" si="380"/>
        <v>-1.6617031351359612E-2</v>
      </c>
      <c r="AP105" s="58">
        <f t="shared" si="380"/>
        <v>-2.4422808655861883E-2</v>
      </c>
      <c r="AQ105" s="58">
        <f t="shared" si="380"/>
        <v>-2.4755003976743573E-2</v>
      </c>
      <c r="AR105" s="58">
        <f t="shared" si="380"/>
        <v>1.1029685201703998E-2</v>
      </c>
      <c r="AS105" s="57">
        <f t="shared" si="381"/>
        <v>-1.5009891567969169E-2</v>
      </c>
      <c r="AT105" s="58">
        <f t="shared" si="381"/>
        <v>3.0168093807003693E-2</v>
      </c>
      <c r="AU105" s="58">
        <f t="shared" si="381"/>
        <v>3.5550051721163101E-2</v>
      </c>
      <c r="AV105" s="58">
        <f t="shared" si="381"/>
        <v>3.2249060387904427E-2</v>
      </c>
      <c r="AW105" s="58">
        <f t="shared" si="381"/>
        <v>-1.0546914604815272E-2</v>
      </c>
      <c r="AX105" s="57">
        <f t="shared" si="381"/>
        <v>2.2407645267881859E-2</v>
      </c>
      <c r="AY105" s="58"/>
      <c r="AZ105" s="58"/>
      <c r="BA105" s="58"/>
      <c r="BB105" s="58"/>
      <c r="BC105" s="57">
        <f t="shared" si="382"/>
        <v>1.223808777543578E-2</v>
      </c>
      <c r="BD105" s="58"/>
      <c r="BE105" s="58"/>
      <c r="BF105" s="58"/>
      <c r="BG105" s="58"/>
      <c r="BH105" s="57">
        <f t="shared" si="383"/>
        <v>0</v>
      </c>
      <c r="BI105" s="57"/>
      <c r="BJ105" s="57"/>
      <c r="BK105" s="57"/>
      <c r="BL105" s="57"/>
    </row>
    <row r="106" spans="3:64" s="41" customFormat="1" ht="12.75" customHeight="1">
      <c r="C106" s="41" t="s">
        <v>272</v>
      </c>
      <c r="E106" s="57"/>
      <c r="F106" s="57">
        <f t="shared" ref="F106:Q106" si="388">F90/E90-1</f>
        <v>0</v>
      </c>
      <c r="G106" s="57">
        <f t="shared" si="388"/>
        <v>0</v>
      </c>
      <c r="H106" s="57">
        <f t="shared" si="388"/>
        <v>0</v>
      </c>
      <c r="I106" s="57">
        <f t="shared" si="388"/>
        <v>0</v>
      </c>
      <c r="J106" s="57">
        <f t="shared" si="388"/>
        <v>0</v>
      </c>
      <c r="K106" s="57">
        <f t="shared" si="388"/>
        <v>0</v>
      </c>
      <c r="L106" s="57">
        <f t="shared" si="388"/>
        <v>0</v>
      </c>
      <c r="M106" s="57">
        <f t="shared" si="388"/>
        <v>0</v>
      </c>
      <c r="N106" s="57">
        <f t="shared" si="388"/>
        <v>0</v>
      </c>
      <c r="O106" s="57">
        <f t="shared" si="388"/>
        <v>0</v>
      </c>
      <c r="P106" s="57">
        <f t="shared" si="388"/>
        <v>0</v>
      </c>
      <c r="Q106" s="57">
        <f t="shared" si="388"/>
        <v>0</v>
      </c>
      <c r="R106" s="57">
        <f t="shared" si="377"/>
        <v>0</v>
      </c>
      <c r="S106" s="57">
        <f t="shared" si="378"/>
        <v>1.5397284440459069E-2</v>
      </c>
      <c r="T106" s="57">
        <f t="shared" si="378"/>
        <v>2.6741460051855848E-2</v>
      </c>
      <c r="U106" s="58"/>
      <c r="V106" s="58"/>
      <c r="W106" s="58"/>
      <c r="X106" s="58"/>
      <c r="Y106" s="57">
        <f t="shared" si="379"/>
        <v>-6.6116385578731673E-3</v>
      </c>
      <c r="Z106" s="58">
        <f t="shared" si="379"/>
        <v>9.1385944914137207E-2</v>
      </c>
      <c r="AA106" s="58">
        <f t="shared" si="379"/>
        <v>0.59802641535722967</v>
      </c>
      <c r="AB106" s="58">
        <f t="shared" si="379"/>
        <v>0.43768108164093911</v>
      </c>
      <c r="AC106" s="58">
        <f t="shared" si="379"/>
        <v>0.43122950427720408</v>
      </c>
      <c r="AD106" s="57">
        <f t="shared" si="379"/>
        <v>0.40404419372636102</v>
      </c>
      <c r="AE106" s="58">
        <f t="shared" si="379"/>
        <v>0.27393136489411929</v>
      </c>
      <c r="AF106" s="58">
        <f t="shared" si="379"/>
        <v>2.7746617009936303E-2</v>
      </c>
      <c r="AG106" s="58">
        <f t="shared" si="379"/>
        <v>-8.9377583368421831E-3</v>
      </c>
      <c r="AH106" s="58">
        <f t="shared" si="379"/>
        <v>3.8551699216362589E-3</v>
      </c>
      <c r="AI106" s="57">
        <f t="shared" si="380"/>
        <v>4.7442414776061259E-2</v>
      </c>
      <c r="AJ106" s="58">
        <f t="shared" si="380"/>
        <v>1.951065894287396E-2</v>
      </c>
      <c r="AK106" s="58">
        <f t="shared" si="380"/>
        <v>-8.1387487765999911E-2</v>
      </c>
      <c r="AL106" s="58">
        <f t="shared" si="380"/>
        <v>-7.7566189704405764E-2</v>
      </c>
      <c r="AM106" s="58">
        <f t="shared" si="380"/>
        <v>-5.3968498924158892E-2</v>
      </c>
      <c r="AN106" s="57">
        <f t="shared" si="380"/>
        <v>-5.2078722890519402E-2</v>
      </c>
      <c r="AO106" s="58">
        <f t="shared" si="380"/>
        <v>-8.4563282198650058E-2</v>
      </c>
      <c r="AP106" s="58">
        <f t="shared" si="380"/>
        <v>-3.7184888299904073E-2</v>
      </c>
      <c r="AQ106" s="58">
        <f t="shared" si="380"/>
        <v>-7.0577582555737539E-3</v>
      </c>
      <c r="AR106" s="58">
        <f t="shared" si="380"/>
        <v>-3.575876810060874E-2</v>
      </c>
      <c r="AS106" s="57">
        <f t="shared" si="381"/>
        <v>-4.0224576226357445E-2</v>
      </c>
      <c r="AT106" s="58">
        <f t="shared" si="381"/>
        <v>-5.4520824590797434E-2</v>
      </c>
      <c r="AU106" s="58">
        <f t="shared" si="381"/>
        <v>-6.0891205387730296E-2</v>
      </c>
      <c r="AV106" s="58">
        <f t="shared" si="381"/>
        <v>-5.1094538524179778E-2</v>
      </c>
      <c r="AW106" s="58">
        <f t="shared" si="381"/>
        <v>-1.395202818257435E-2</v>
      </c>
      <c r="AX106" s="57">
        <f t="shared" si="381"/>
        <v>-4.5237504625632252E-2</v>
      </c>
      <c r="AY106" s="165">
        <v>0.01</v>
      </c>
      <c r="AZ106" s="165">
        <v>0.01</v>
      </c>
      <c r="BA106" s="165">
        <v>0.01</v>
      </c>
      <c r="BB106" s="165">
        <v>0.01</v>
      </c>
      <c r="BC106" s="57">
        <f t="shared" si="382"/>
        <v>1.0123041007228606E-2</v>
      </c>
      <c r="BD106" s="165">
        <v>0</v>
      </c>
      <c r="BE106" s="165">
        <v>0</v>
      </c>
      <c r="BF106" s="165">
        <v>0</v>
      </c>
      <c r="BG106" s="165">
        <v>0</v>
      </c>
      <c r="BH106" s="57">
        <f t="shared" si="383"/>
        <v>0</v>
      </c>
      <c r="BI106" s="166">
        <v>0</v>
      </c>
      <c r="BJ106" s="166">
        <v>0</v>
      </c>
      <c r="BK106" s="166">
        <v>0</v>
      </c>
      <c r="BL106" s="166">
        <v>0</v>
      </c>
    </row>
    <row r="107" spans="3:64" s="84" customFormat="1" ht="12.75" customHeight="1">
      <c r="C107" s="84" t="s">
        <v>273</v>
      </c>
      <c r="E107" s="109"/>
      <c r="F107" s="109">
        <f t="shared" ref="F107:Q107" si="389">F91/E91-1</f>
        <v>0</v>
      </c>
      <c r="G107" s="109">
        <f t="shared" si="389"/>
        <v>0</v>
      </c>
      <c r="H107" s="109">
        <f t="shared" si="389"/>
        <v>0</v>
      </c>
      <c r="I107" s="109">
        <f t="shared" si="389"/>
        <v>0</v>
      </c>
      <c r="J107" s="109">
        <f t="shared" si="389"/>
        <v>0</v>
      </c>
      <c r="K107" s="109">
        <f t="shared" si="389"/>
        <v>0</v>
      </c>
      <c r="L107" s="109">
        <f t="shared" si="389"/>
        <v>0</v>
      </c>
      <c r="M107" s="109">
        <f t="shared" si="389"/>
        <v>0</v>
      </c>
      <c r="N107" s="109">
        <f t="shared" si="389"/>
        <v>0</v>
      </c>
      <c r="O107" s="109">
        <f t="shared" si="389"/>
        <v>0</v>
      </c>
      <c r="P107" s="109">
        <f t="shared" si="389"/>
        <v>0</v>
      </c>
      <c r="Q107" s="109">
        <f t="shared" si="389"/>
        <v>0</v>
      </c>
      <c r="R107" s="109">
        <f t="shared" si="377"/>
        <v>0</v>
      </c>
      <c r="S107" s="109">
        <f t="shared" si="378"/>
        <v>3.37344643913986E-2</v>
      </c>
      <c r="T107" s="109">
        <f t="shared" si="378"/>
        <v>1.4672835086112057E-2</v>
      </c>
      <c r="U107" s="110"/>
      <c r="V107" s="110"/>
      <c r="W107" s="110"/>
      <c r="X107" s="110"/>
      <c r="Y107" s="109">
        <f t="shared" si="379"/>
        <v>-0.33523289560812897</v>
      </c>
      <c r="Z107" s="110">
        <f t="shared" si="379"/>
        <v>0.22504707349868225</v>
      </c>
      <c r="AA107" s="110">
        <f t="shared" si="379"/>
        <v>3.500507387071881</v>
      </c>
      <c r="AB107" s="110">
        <f t="shared" si="379"/>
        <v>1.2346005565983242</v>
      </c>
      <c r="AC107" s="110">
        <f t="shared" si="379"/>
        <v>0.56229369519860728</v>
      </c>
      <c r="AD107" s="109">
        <f t="shared" si="379"/>
        <v>1.0868346672350415</v>
      </c>
      <c r="AE107" s="110">
        <f t="shared" si="379"/>
        <v>0.27817983818493031</v>
      </c>
      <c r="AF107" s="110">
        <f t="shared" si="379"/>
        <v>3.2780191733905006E-2</v>
      </c>
      <c r="AG107" s="110">
        <f t="shared" si="379"/>
        <v>-3.5966412434772499E-3</v>
      </c>
      <c r="AH107" s="110">
        <f t="shared" si="379"/>
        <v>3.2290140649340326E-3</v>
      </c>
      <c r="AI107" s="109">
        <f t="shared" si="380"/>
        <v>4.8454257645213605E-2</v>
      </c>
      <c r="AJ107" s="110">
        <f t="shared" si="380"/>
        <v>5.3693637340072486E-2</v>
      </c>
      <c r="AK107" s="110">
        <f t="shared" si="380"/>
        <v>-5.3715192488086982E-2</v>
      </c>
      <c r="AL107" s="110">
        <f t="shared" si="380"/>
        <v>-4.1842077629891339E-2</v>
      </c>
      <c r="AM107" s="110">
        <f t="shared" si="380"/>
        <v>-7.1415823947976409E-2</v>
      </c>
      <c r="AN107" s="109">
        <f t="shared" si="380"/>
        <v>-3.1580132569438479E-2</v>
      </c>
      <c r="AO107" s="110">
        <f t="shared" si="380"/>
        <v>-8.9772624203413698E-2</v>
      </c>
      <c r="AP107" s="110">
        <f t="shared" si="380"/>
        <v>-6.0699537543928095E-2</v>
      </c>
      <c r="AQ107" s="110">
        <f t="shared" si="380"/>
        <v>-3.1638047398633629E-2</v>
      </c>
      <c r="AR107" s="110">
        <f t="shared" si="380"/>
        <v>-2.5123490854255581E-2</v>
      </c>
      <c r="AS107" s="109">
        <f t="shared" si="381"/>
        <v>-5.2461945459484793E-2</v>
      </c>
      <c r="AT107" s="110">
        <f t="shared" si="381"/>
        <v>-3.6700844089050055E-2</v>
      </c>
      <c r="AU107" s="110">
        <f t="shared" si="381"/>
        <v>-2.7505839167464741E-2</v>
      </c>
      <c r="AV107" s="110">
        <f t="shared" si="381"/>
        <v>-2.0493228994633683E-2</v>
      </c>
      <c r="AW107" s="110">
        <f t="shared" si="381"/>
        <v>-2.4351791937583744E-2</v>
      </c>
      <c r="AX107" s="109">
        <f t="shared" si="381"/>
        <v>-2.6249374554093929E-2</v>
      </c>
      <c r="AY107" s="110"/>
      <c r="AZ107" s="110"/>
      <c r="BA107" s="110"/>
      <c r="BB107" s="110"/>
      <c r="BC107" s="109">
        <f t="shared" si="382"/>
        <v>2.2526046625466867E-2</v>
      </c>
      <c r="BD107" s="110"/>
      <c r="BE107" s="110"/>
      <c r="BF107" s="110"/>
      <c r="BG107" s="110"/>
      <c r="BH107" s="109">
        <f t="shared" si="383"/>
        <v>0</v>
      </c>
      <c r="BI107" s="109"/>
      <c r="BJ107" s="109"/>
      <c r="BK107" s="109"/>
      <c r="BL107" s="109"/>
    </row>
    <row r="108" spans="3:64" s="84" customFormat="1" ht="12.75" customHeight="1">
      <c r="C108" s="84" t="s">
        <v>274</v>
      </c>
      <c r="E108" s="109"/>
      <c r="F108" s="109">
        <f t="shared" ref="F108:Q108" si="390">F92/E92-1</f>
        <v>0</v>
      </c>
      <c r="G108" s="109">
        <f t="shared" si="390"/>
        <v>0</v>
      </c>
      <c r="H108" s="109">
        <f t="shared" si="390"/>
        <v>0</v>
      </c>
      <c r="I108" s="109">
        <f t="shared" si="390"/>
        <v>0</v>
      </c>
      <c r="J108" s="109">
        <f t="shared" si="390"/>
        <v>0</v>
      </c>
      <c r="K108" s="109">
        <f t="shared" si="390"/>
        <v>0</v>
      </c>
      <c r="L108" s="109">
        <f t="shared" si="390"/>
        <v>0</v>
      </c>
      <c r="M108" s="109">
        <f t="shared" si="390"/>
        <v>0</v>
      </c>
      <c r="N108" s="109">
        <f t="shared" si="390"/>
        <v>0</v>
      </c>
      <c r="O108" s="109">
        <f t="shared" si="390"/>
        <v>0</v>
      </c>
      <c r="P108" s="109">
        <f t="shared" si="390"/>
        <v>0</v>
      </c>
      <c r="Q108" s="109">
        <f t="shared" si="390"/>
        <v>0</v>
      </c>
      <c r="R108" s="109">
        <f t="shared" si="377"/>
        <v>0</v>
      </c>
      <c r="S108" s="109">
        <f t="shared" si="378"/>
        <v>-0.15729466969269479</v>
      </c>
      <c r="T108" s="109">
        <f t="shared" si="378"/>
        <v>-6.4734057537984002E-2</v>
      </c>
      <c r="U108" s="110"/>
      <c r="V108" s="110"/>
      <c r="W108" s="110"/>
      <c r="X108" s="110"/>
      <c r="Y108" s="109">
        <f t="shared" si="379"/>
        <v>7.09108531439262E-3</v>
      </c>
      <c r="Z108" s="110">
        <f t="shared" si="379"/>
        <v>-0.21755031079120823</v>
      </c>
      <c r="AA108" s="110">
        <f t="shared" si="379"/>
        <v>-0.71491867792638331</v>
      </c>
      <c r="AB108" s="110">
        <f t="shared" si="379"/>
        <v>-0.87185096558095876</v>
      </c>
      <c r="AC108" s="110">
        <f t="shared" si="379"/>
        <v>-0.9135102689641722</v>
      </c>
      <c r="AD108" s="109">
        <f t="shared" si="379"/>
        <v>-0.68888108996568431</v>
      </c>
      <c r="AE108" s="110">
        <f t="shared" si="379"/>
        <v>-1.3348058807044774</v>
      </c>
      <c r="AF108" s="110">
        <f t="shared" si="379"/>
        <v>-0.36511167084654916</v>
      </c>
      <c r="AG108" s="110">
        <f t="shared" si="379"/>
        <v>8.5947902079280176</v>
      </c>
      <c r="AH108" s="110">
        <f t="shared" si="379"/>
        <v>9.700148423005567</v>
      </c>
      <c r="AI108" s="109">
        <f t="shared" si="380"/>
        <v>0.39187838529194785</v>
      </c>
      <c r="AJ108" s="110">
        <f t="shared" si="380"/>
        <v>-4.6234405649595978</v>
      </c>
      <c r="AK108" s="110">
        <f t="shared" si="380"/>
        <v>3.0486015252241696</v>
      </c>
      <c r="AL108" s="110">
        <f t="shared" si="380"/>
        <v>0.49196012919044585</v>
      </c>
      <c r="AM108" s="110">
        <f t="shared" si="380"/>
        <v>0.98479432378481335</v>
      </c>
      <c r="AN108" s="109">
        <f t="shared" si="380"/>
        <v>1.9494286176037359</v>
      </c>
      <c r="AO108" s="110">
        <f t="shared" si="380"/>
        <v>1.2939899273801201</v>
      </c>
      <c r="AP108" s="110">
        <f t="shared" si="380"/>
        <v>2.2492395649757202</v>
      </c>
      <c r="AQ108" s="110">
        <f t="shared" si="380"/>
        <v>0.99730385139909794</v>
      </c>
      <c r="AR108" s="110">
        <f t="shared" si="380"/>
        <v>-0.17056741467356629</v>
      </c>
      <c r="AS108" s="109">
        <f t="shared" si="381"/>
        <v>0.76885861926293897</v>
      </c>
      <c r="AT108" s="110">
        <f t="shared" si="381"/>
        <v>-0.42513735628742511</v>
      </c>
      <c r="AU108" s="110">
        <f t="shared" si="381"/>
        <v>-0.6151682976097399</v>
      </c>
      <c r="AV108" s="110">
        <f t="shared" si="381"/>
        <v>-0.52846819090194486</v>
      </c>
      <c r="AW108" s="110">
        <f t="shared" si="381"/>
        <v>-0.24309894104825414</v>
      </c>
      <c r="AX108" s="109">
        <f t="shared" si="381"/>
        <v>-0.47127776456769788</v>
      </c>
      <c r="AY108" s="165">
        <v>-0.2</v>
      </c>
      <c r="AZ108" s="165">
        <v>0</v>
      </c>
      <c r="BA108" s="165">
        <v>0</v>
      </c>
      <c r="BB108" s="165">
        <v>-0.15</v>
      </c>
      <c r="BC108" s="109">
        <f t="shared" si="382"/>
        <v>-9.9823631776741695E-2</v>
      </c>
      <c r="BD108" s="165">
        <v>0</v>
      </c>
      <c r="BE108" s="165">
        <v>0</v>
      </c>
      <c r="BF108" s="165">
        <v>0</v>
      </c>
      <c r="BG108" s="165">
        <v>0</v>
      </c>
      <c r="BH108" s="109">
        <f t="shared" si="383"/>
        <v>0</v>
      </c>
      <c r="BI108" s="166">
        <v>0</v>
      </c>
      <c r="BJ108" s="166">
        <v>0</v>
      </c>
      <c r="BK108" s="166">
        <v>0</v>
      </c>
      <c r="BL108" s="166">
        <v>0</v>
      </c>
    </row>
    <row r="109" spans="3:64" s="84" customFormat="1" ht="12.75" customHeight="1">
      <c r="C109" s="84" t="s">
        <v>284</v>
      </c>
      <c r="E109" s="109"/>
      <c r="F109" s="109">
        <f t="shared" ref="F109:Q109" si="391">F94/E94-1</f>
        <v>0</v>
      </c>
      <c r="G109" s="109">
        <f t="shared" si="391"/>
        <v>0</v>
      </c>
      <c r="H109" s="109">
        <f t="shared" si="391"/>
        <v>0</v>
      </c>
      <c r="I109" s="109">
        <f t="shared" si="391"/>
        <v>0</v>
      </c>
      <c r="J109" s="109">
        <f t="shared" si="391"/>
        <v>0</v>
      </c>
      <c r="K109" s="109">
        <f t="shared" si="391"/>
        <v>0</v>
      </c>
      <c r="L109" s="109">
        <f t="shared" si="391"/>
        <v>0</v>
      </c>
      <c r="M109" s="109">
        <f t="shared" si="391"/>
        <v>0</v>
      </c>
      <c r="N109" s="109">
        <f t="shared" si="391"/>
        <v>0</v>
      </c>
      <c r="O109" s="109">
        <f t="shared" si="391"/>
        <v>0</v>
      </c>
      <c r="P109" s="109">
        <f t="shared" si="391"/>
        <v>0</v>
      </c>
      <c r="Q109" s="109">
        <f t="shared" si="391"/>
        <v>0</v>
      </c>
      <c r="R109" s="109">
        <f>R94/Q94-1</f>
        <v>0</v>
      </c>
      <c r="S109" s="109">
        <f t="shared" ref="S109:T110" si="392">S94/R94-1</f>
        <v>-0.15729466969269468</v>
      </c>
      <c r="T109" s="109">
        <f t="shared" si="392"/>
        <v>-6.4734057537984002E-2</v>
      </c>
      <c r="U109" s="110"/>
      <c r="V109" s="110"/>
      <c r="W109" s="110"/>
      <c r="X109" s="110"/>
      <c r="Y109" s="109">
        <f>Y94/T94-1</f>
        <v>4.3394703271948387E-3</v>
      </c>
      <c r="Z109" s="110">
        <f t="shared" ref="Z109:AX109" si="393">Z94/U94-1</f>
        <v>-0.19766235712600033</v>
      </c>
      <c r="AA109" s="110">
        <f t="shared" si="393"/>
        <v>-0.71355228710691021</v>
      </c>
      <c r="AB109" s="110">
        <f t="shared" si="393"/>
        <v>-0.86667373440255269</v>
      </c>
      <c r="AC109" s="110">
        <f t="shared" si="393"/>
        <v>-0.9097406600220731</v>
      </c>
      <c r="AD109" s="109">
        <f t="shared" si="393"/>
        <v>-0.67964007061186549</v>
      </c>
      <c r="AE109" s="110">
        <f t="shared" si="393"/>
        <v>-1.3517810963025125</v>
      </c>
      <c r="AF109" s="110">
        <f t="shared" si="393"/>
        <v>-0.34328764877824169</v>
      </c>
      <c r="AG109" s="110">
        <f t="shared" si="393"/>
        <v>8.8353233305156387</v>
      </c>
      <c r="AH109" s="110">
        <f t="shared" si="393"/>
        <v>10.03146392319872</v>
      </c>
      <c r="AI109" s="109">
        <f t="shared" si="393"/>
        <v>0.44102828927741067</v>
      </c>
      <c r="AJ109" s="110">
        <f t="shared" si="393"/>
        <v>-4.5585365870986543</v>
      </c>
      <c r="AK109" s="110">
        <f t="shared" si="393"/>
        <v>3.1252206830021025</v>
      </c>
      <c r="AL109" s="110">
        <f t="shared" si="393"/>
        <v>0.47623278241585365</v>
      </c>
      <c r="AM109" s="110">
        <f t="shared" si="393"/>
        <v>0.9514843810659328</v>
      </c>
      <c r="AN109" s="109">
        <f t="shared" si="393"/>
        <v>1.9267848231897307</v>
      </c>
      <c r="AO109" s="110">
        <f t="shared" si="393"/>
        <v>1.2517760911757003</v>
      </c>
      <c r="AP109" s="110">
        <f t="shared" si="393"/>
        <v>2.271437366058779</v>
      </c>
      <c r="AQ109" s="110">
        <f t="shared" si="393"/>
        <v>1.0302331139426957</v>
      </c>
      <c r="AR109" s="110">
        <f t="shared" si="393"/>
        <v>-0.15125650633943377</v>
      </c>
      <c r="AS109" s="109">
        <f t="shared" si="393"/>
        <v>0.78022764984337178</v>
      </c>
      <c r="AT109" s="110">
        <f t="shared" si="393"/>
        <v>-0.40184857360653847</v>
      </c>
      <c r="AU109" s="110">
        <f t="shared" si="393"/>
        <v>-0.61271794623619391</v>
      </c>
      <c r="AV109" s="110">
        <f t="shared" si="393"/>
        <v>-0.54344604605539493</v>
      </c>
      <c r="AW109" s="110">
        <f t="shared" si="393"/>
        <v>-0.27062851002859878</v>
      </c>
      <c r="AX109" s="109">
        <f t="shared" si="393"/>
        <v>-0.47434977832376912</v>
      </c>
      <c r="AY109" s="110"/>
      <c r="AZ109" s="110"/>
      <c r="BA109" s="110"/>
      <c r="BB109" s="110"/>
      <c r="BC109" s="109">
        <f>BC94/AX94-1</f>
        <v>-0.10045537276526983</v>
      </c>
      <c r="BD109" s="110"/>
      <c r="BE109" s="110"/>
      <c r="BF109" s="110"/>
      <c r="BG109" s="110"/>
      <c r="BH109" s="109">
        <f>BH94/BC94-1</f>
        <v>0</v>
      </c>
      <c r="BI109" s="109"/>
      <c r="BJ109" s="109"/>
      <c r="BK109" s="109"/>
      <c r="BL109" s="109"/>
    </row>
    <row r="110" spans="3:64" s="84" customFormat="1" ht="12.75" customHeight="1">
      <c r="C110" s="84" t="s">
        <v>283</v>
      </c>
      <c r="E110" s="109"/>
      <c r="F110" s="109">
        <f t="shared" ref="F110:Q110" si="394">F95/E95-1</f>
        <v>0</v>
      </c>
      <c r="G110" s="109">
        <f t="shared" si="394"/>
        <v>0</v>
      </c>
      <c r="H110" s="109">
        <f t="shared" si="394"/>
        <v>0</v>
      </c>
      <c r="I110" s="109">
        <f t="shared" si="394"/>
        <v>0</v>
      </c>
      <c r="J110" s="109">
        <f t="shared" si="394"/>
        <v>0</v>
      </c>
      <c r="K110" s="109">
        <f t="shared" si="394"/>
        <v>0</v>
      </c>
      <c r="L110" s="109">
        <f t="shared" si="394"/>
        <v>0</v>
      </c>
      <c r="M110" s="109">
        <f t="shared" si="394"/>
        <v>0</v>
      </c>
      <c r="N110" s="109">
        <f t="shared" si="394"/>
        <v>0</v>
      </c>
      <c r="O110" s="109">
        <f t="shared" si="394"/>
        <v>0</v>
      </c>
      <c r="P110" s="109">
        <f t="shared" si="394"/>
        <v>0</v>
      </c>
      <c r="Q110" s="109">
        <f t="shared" si="394"/>
        <v>0</v>
      </c>
      <c r="R110" s="109">
        <f>R95/Q95-1</f>
        <v>0</v>
      </c>
      <c r="S110" s="109">
        <f t="shared" si="392"/>
        <v>5.1274823216117094E-2</v>
      </c>
      <c r="T110" s="109">
        <f t="shared" si="392"/>
        <v>-2.1144301328662518E-2</v>
      </c>
      <c r="U110" s="110"/>
      <c r="V110" s="110"/>
      <c r="W110" s="110"/>
      <c r="X110" s="110"/>
      <c r="Y110" s="109">
        <f>Y95/T95-1</f>
        <v>-0.13275394152409736</v>
      </c>
      <c r="Z110" s="110">
        <f t="shared" ref="Z110:AX110" si="395">Z95/U95-1</f>
        <v>0.17018120136161152</v>
      </c>
      <c r="AA110" s="110">
        <f t="shared" si="395"/>
        <v>1.0650276029474566</v>
      </c>
      <c r="AB110" s="110">
        <f t="shared" si="395"/>
        <v>0.4978629838725559</v>
      </c>
      <c r="AC110" s="110">
        <f t="shared" si="395"/>
        <v>8.0687466092578042E-2</v>
      </c>
      <c r="AD110" s="109">
        <f t="shared" si="395"/>
        <v>0.42241409222783233</v>
      </c>
      <c r="AE110" s="110">
        <f t="shared" si="395"/>
        <v>0.11902184576930241</v>
      </c>
      <c r="AF110" s="110">
        <f t="shared" si="395"/>
        <v>8.8252993900236776E-2</v>
      </c>
      <c r="AG110" s="110">
        <f t="shared" si="395"/>
        <v>5.0857462992593527E-2</v>
      </c>
      <c r="AH110" s="110">
        <f t="shared" si="395"/>
        <v>0.20178467552408996</v>
      </c>
      <c r="AI110" s="109">
        <f t="shared" si="395"/>
        <v>0.10761521296569199</v>
      </c>
      <c r="AJ110" s="110">
        <f t="shared" si="395"/>
        <v>9.1080399945363988E-2</v>
      </c>
      <c r="AK110" s="110">
        <f t="shared" si="395"/>
        <v>5.1632792629091373E-2</v>
      </c>
      <c r="AL110" s="110">
        <f t="shared" si="395"/>
        <v>3.5407063166325026E-2</v>
      </c>
      <c r="AM110" s="110">
        <f t="shared" si="395"/>
        <v>-6.9845764270622945E-2</v>
      </c>
      <c r="AN110" s="109">
        <f t="shared" si="395"/>
        <v>2.4029552209335225E-2</v>
      </c>
      <c r="AO110" s="110">
        <f t="shared" si="395"/>
        <v>-5.3198391663392686E-3</v>
      </c>
      <c r="AP110" s="110">
        <f t="shared" si="395"/>
        <v>3.5033469621037261E-2</v>
      </c>
      <c r="AQ110" s="110">
        <f t="shared" si="395"/>
        <v>-9.6080156444394715E-3</v>
      </c>
      <c r="AR110" s="110">
        <f t="shared" si="395"/>
        <v>6.4656498865213186E-2</v>
      </c>
      <c r="AS110" s="109">
        <f t="shared" si="395"/>
        <v>1.9140528062102202E-2</v>
      </c>
      <c r="AT110" s="110">
        <f t="shared" si="395"/>
        <v>4.9489260892099596E-2</v>
      </c>
      <c r="AU110" s="110">
        <f t="shared" si="395"/>
        <v>1.8168917171665688E-2</v>
      </c>
      <c r="AV110" s="110">
        <f t="shared" si="395"/>
        <v>1.5811416218386443E-2</v>
      </c>
      <c r="AW110" s="110">
        <f t="shared" si="395"/>
        <v>-5.1092781095983031E-2</v>
      </c>
      <c r="AX110" s="109">
        <f t="shared" si="395"/>
        <v>8.1127076625955308E-3</v>
      </c>
      <c r="AY110" s="165">
        <v>-0.05</v>
      </c>
      <c r="AZ110" s="165">
        <v>-0.05</v>
      </c>
      <c r="BA110" s="165">
        <v>-0.05</v>
      </c>
      <c r="BB110" s="165">
        <v>-0.05</v>
      </c>
      <c r="BC110" s="109">
        <f>BC95/AX95-1</f>
        <v>-4.9970489479543079E-2</v>
      </c>
      <c r="BD110" s="165">
        <v>-0.03</v>
      </c>
      <c r="BE110" s="165">
        <v>-0.03</v>
      </c>
      <c r="BF110" s="165">
        <v>-0.03</v>
      </c>
      <c r="BG110" s="165">
        <v>-0.03</v>
      </c>
      <c r="BH110" s="109">
        <f>BH95/BC95-1</f>
        <v>-3.0000000000000138E-2</v>
      </c>
      <c r="BI110" s="166">
        <v>-0.03</v>
      </c>
      <c r="BJ110" s="166">
        <v>-0.03</v>
      </c>
      <c r="BK110" s="166">
        <v>-0.03</v>
      </c>
      <c r="BL110" s="166">
        <v>-0.03</v>
      </c>
    </row>
    <row r="111" spans="3:64" s="84" customFormat="1" ht="12.75" customHeight="1">
      <c r="C111" s="84" t="s">
        <v>285</v>
      </c>
      <c r="E111" s="210"/>
      <c r="F111" s="210" t="s">
        <v>98</v>
      </c>
      <c r="G111" s="210" t="s">
        <v>98</v>
      </c>
      <c r="H111" s="210" t="s">
        <v>98</v>
      </c>
      <c r="I111" s="210" t="s">
        <v>98</v>
      </c>
      <c r="J111" s="210" t="s">
        <v>98</v>
      </c>
      <c r="K111" s="210" t="s">
        <v>98</v>
      </c>
      <c r="L111" s="210" t="s">
        <v>98</v>
      </c>
      <c r="M111" s="210" t="s">
        <v>98</v>
      </c>
      <c r="N111" s="210" t="s">
        <v>98</v>
      </c>
      <c r="O111" s="210" t="s">
        <v>98</v>
      </c>
      <c r="P111" s="210" t="s">
        <v>98</v>
      </c>
      <c r="Q111" s="210" t="s">
        <v>98</v>
      </c>
      <c r="R111" s="210" t="s">
        <v>98</v>
      </c>
      <c r="S111" s="109">
        <f t="shared" ref="S111:T111" si="396">S96/R96-1</f>
        <v>0.13671234917324626</v>
      </c>
      <c r="T111" s="109">
        <f t="shared" si="396"/>
        <v>-3.5009081152178601E-3</v>
      </c>
      <c r="U111" s="110"/>
      <c r="V111" s="110"/>
      <c r="W111" s="110"/>
      <c r="X111" s="110"/>
      <c r="Y111" s="109">
        <f>Y96/T96-1</f>
        <v>-0.29650034174543405</v>
      </c>
      <c r="Z111" s="110">
        <f t="shared" ref="Z111:AI112" si="397">Z96/U96-1</f>
        <v>-0.20012086584536559</v>
      </c>
      <c r="AA111" s="110">
        <f t="shared" si="397"/>
        <v>0.60001508201711573</v>
      </c>
      <c r="AB111" s="110">
        <f t="shared" si="397"/>
        <v>0.58252480470013546</v>
      </c>
      <c r="AC111" s="110">
        <f t="shared" si="397"/>
        <v>0.45678574724373955</v>
      </c>
      <c r="AD111" s="109">
        <f t="shared" si="397"/>
        <v>0.2715899140878586</v>
      </c>
      <c r="AE111" s="110">
        <f t="shared" si="397"/>
        <v>0.3137234489709213</v>
      </c>
      <c r="AF111" s="110">
        <f t="shared" si="397"/>
        <v>0.2357238825555541</v>
      </c>
      <c r="AG111" s="110">
        <f t="shared" si="397"/>
        <v>0.10582339033575283</v>
      </c>
      <c r="AH111" s="110">
        <f t="shared" si="397"/>
        <v>-0.10555697920010354</v>
      </c>
      <c r="AI111" s="109">
        <f t="shared" si="397"/>
        <v>0.11179956268418101</v>
      </c>
      <c r="AJ111" s="110">
        <f t="shared" ref="AJ111:AS112" si="398">AJ96/AE96-1</f>
        <v>0.15776336952816505</v>
      </c>
      <c r="AK111" s="110">
        <f t="shared" si="398"/>
        <v>0.38303967343074019</v>
      </c>
      <c r="AL111" s="110">
        <f t="shared" si="398"/>
        <v>0.20514962697478389</v>
      </c>
      <c r="AM111" s="110">
        <f t="shared" si="398"/>
        <v>0.45277170590463856</v>
      </c>
      <c r="AN111" s="109">
        <f t="shared" si="398"/>
        <v>0.30151200291992208</v>
      </c>
      <c r="AO111" s="110">
        <f t="shared" si="398"/>
        <v>5.9446207020217967E-2</v>
      </c>
      <c r="AP111" s="110">
        <f t="shared" si="398"/>
        <v>-8.9839913328248922E-2</v>
      </c>
      <c r="AQ111" s="110">
        <f t="shared" si="398"/>
        <v>1.3556639096631962E-2</v>
      </c>
      <c r="AR111" s="110">
        <f t="shared" si="398"/>
        <v>-0.14923391429383603</v>
      </c>
      <c r="AS111" s="109">
        <f t="shared" si="398"/>
        <v>-4.9384803985838777E-2</v>
      </c>
      <c r="AT111" s="110">
        <f t="shared" ref="AT111:AX112" si="399">AT96/AO96-1</f>
        <v>4.2692955686298051E-2</v>
      </c>
      <c r="AU111" s="110">
        <f t="shared" si="399"/>
        <v>3.9072748851752381E-2</v>
      </c>
      <c r="AV111" s="110">
        <f t="shared" si="399"/>
        <v>0.18812148742597801</v>
      </c>
      <c r="AW111" s="110">
        <f t="shared" si="399"/>
        <v>0.21851124798141397</v>
      </c>
      <c r="AX111" s="109">
        <f t="shared" si="399"/>
        <v>0.11674516665521062</v>
      </c>
      <c r="AY111" s="165">
        <v>-0.03</v>
      </c>
      <c r="AZ111" s="165">
        <v>-0.03</v>
      </c>
      <c r="BA111" s="165">
        <v>-0.03</v>
      </c>
      <c r="BB111" s="165">
        <v>-0.03</v>
      </c>
      <c r="BC111" s="109">
        <f>BC96/AX96-1</f>
        <v>-2.9925724013641464E-2</v>
      </c>
      <c r="BD111" s="165">
        <v>0</v>
      </c>
      <c r="BE111" s="165">
        <v>0</v>
      </c>
      <c r="BF111" s="165">
        <v>0</v>
      </c>
      <c r="BG111" s="165">
        <v>0</v>
      </c>
      <c r="BH111" s="109">
        <f>BH96/BC96-1</f>
        <v>0</v>
      </c>
      <c r="BI111" s="166">
        <v>0</v>
      </c>
      <c r="BJ111" s="166">
        <v>0</v>
      </c>
      <c r="BK111" s="166">
        <v>0</v>
      </c>
      <c r="BL111" s="166">
        <v>0</v>
      </c>
    </row>
    <row r="112" spans="3:64" s="84" customFormat="1" ht="12.75" customHeight="1">
      <c r="C112" s="84" t="s">
        <v>286</v>
      </c>
      <c r="E112" s="210"/>
      <c r="F112" s="210" t="s">
        <v>98</v>
      </c>
      <c r="G112" s="210" t="s">
        <v>98</v>
      </c>
      <c r="H112" s="210" t="s">
        <v>98</v>
      </c>
      <c r="I112" s="210" t="s">
        <v>98</v>
      </c>
      <c r="J112" s="210" t="s">
        <v>98</v>
      </c>
      <c r="K112" s="210" t="s">
        <v>98</v>
      </c>
      <c r="L112" s="210" t="s">
        <v>98</v>
      </c>
      <c r="M112" s="210" t="s">
        <v>98</v>
      </c>
      <c r="N112" s="210" t="s">
        <v>98</v>
      </c>
      <c r="O112" s="210" t="s">
        <v>98</v>
      </c>
      <c r="P112" s="210" t="s">
        <v>98</v>
      </c>
      <c r="Q112" s="210" t="s">
        <v>98</v>
      </c>
      <c r="R112" s="210" t="s">
        <v>98</v>
      </c>
      <c r="S112" s="109">
        <f t="shared" ref="S112:T112" si="400">S97/R97-1</f>
        <v>0.23121891350687962</v>
      </c>
      <c r="T112" s="109">
        <f t="shared" si="400"/>
        <v>0.12355115367358449</v>
      </c>
      <c r="U112" s="110"/>
      <c r="V112" s="110"/>
      <c r="W112" s="110"/>
      <c r="X112" s="110"/>
      <c r="Y112" s="109">
        <f>Y97/T97-1</f>
        <v>0.18150434512318725</v>
      </c>
      <c r="Z112" s="110">
        <f t="shared" si="397"/>
        <v>0.48099267236144305</v>
      </c>
      <c r="AA112" s="110">
        <f t="shared" si="397"/>
        <v>0.14783690666445271</v>
      </c>
      <c r="AB112" s="110">
        <f t="shared" si="397"/>
        <v>-0.55355901974188093</v>
      </c>
      <c r="AC112" s="110">
        <f t="shared" si="397"/>
        <v>-0.60176051001273434</v>
      </c>
      <c r="AD112" s="109">
        <f t="shared" si="397"/>
        <v>-0.18683258951210935</v>
      </c>
      <c r="AE112" s="110">
        <f t="shared" si="397"/>
        <v>-0.97793487747206465</v>
      </c>
      <c r="AF112" s="110">
        <f t="shared" si="397"/>
        <v>-0.60851722728956281</v>
      </c>
      <c r="AG112" s="110">
        <f t="shared" si="397"/>
        <v>-0.14595231583757784</v>
      </c>
      <c r="AH112" s="110">
        <f t="shared" si="397"/>
        <v>1.3082400536771526</v>
      </c>
      <c r="AI112" s="109">
        <f t="shared" si="397"/>
        <v>-0.41356473262577853</v>
      </c>
      <c r="AJ112" s="110">
        <f t="shared" si="398"/>
        <v>43.094244902315552</v>
      </c>
      <c r="AK112" s="110">
        <f t="shared" si="398"/>
        <v>1.9868851016736855</v>
      </c>
      <c r="AL112" s="110">
        <f t="shared" si="398"/>
        <v>2.8261966085617072</v>
      </c>
      <c r="AM112" s="110">
        <f t="shared" si="398"/>
        <v>0.43921973103612544</v>
      </c>
      <c r="AN112" s="109">
        <f t="shared" si="398"/>
        <v>1.9699858160728692</v>
      </c>
      <c r="AO112" s="110">
        <f t="shared" si="398"/>
        <v>0.11897804383508936</v>
      </c>
      <c r="AP112" s="110">
        <f t="shared" si="398"/>
        <v>7.0250902252603664E-2</v>
      </c>
      <c r="AQ112" s="110">
        <f t="shared" si="398"/>
        <v>-3.9445115964736432E-2</v>
      </c>
      <c r="AR112" s="110">
        <f t="shared" si="398"/>
        <v>3.7688954505383565E-2</v>
      </c>
      <c r="AS112" s="109">
        <f t="shared" si="398"/>
        <v>3.7925329967798405E-2</v>
      </c>
      <c r="AT112" s="110">
        <f t="shared" si="399"/>
        <v>0.1439344677175447</v>
      </c>
      <c r="AU112" s="110">
        <f t="shared" si="399"/>
        <v>0.13103798290570445</v>
      </c>
      <c r="AV112" s="110">
        <f t="shared" si="399"/>
        <v>0.14240129302795013</v>
      </c>
      <c r="AW112" s="110">
        <f t="shared" si="399"/>
        <v>0.12581586744268591</v>
      </c>
      <c r="AX112" s="109">
        <f t="shared" si="399"/>
        <v>0.13711724519992008</v>
      </c>
      <c r="AY112" s="165">
        <v>0</v>
      </c>
      <c r="AZ112" s="165">
        <v>0</v>
      </c>
      <c r="BA112" s="165">
        <v>0</v>
      </c>
      <c r="BB112" s="165">
        <v>0</v>
      </c>
      <c r="BC112" s="109">
        <f>BC97/AX97-1</f>
        <v>1.3314523253127319E-4</v>
      </c>
      <c r="BD112" s="165">
        <v>0.15</v>
      </c>
      <c r="BE112" s="165">
        <v>0.15</v>
      </c>
      <c r="BF112" s="165">
        <v>0.15</v>
      </c>
      <c r="BG112" s="165">
        <v>0.15</v>
      </c>
      <c r="BH112" s="109">
        <f>BH97/BC97-1</f>
        <v>0.14999999999999947</v>
      </c>
      <c r="BI112" s="166">
        <v>0</v>
      </c>
      <c r="BJ112" s="166">
        <v>0</v>
      </c>
      <c r="BK112" s="166">
        <v>0</v>
      </c>
      <c r="BL112" s="166">
        <v>0</v>
      </c>
    </row>
    <row r="113" spans="3:67" s="41" customFormat="1" ht="12.75" customHeight="1"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14"/>
      <c r="V113" s="14"/>
      <c r="W113" s="14"/>
      <c r="X113" s="14"/>
      <c r="Y113" s="56"/>
      <c r="Z113" s="14"/>
      <c r="AA113" s="14"/>
      <c r="AB113" s="14"/>
      <c r="AC113" s="14"/>
      <c r="AD113" s="56"/>
      <c r="AE113" s="14"/>
      <c r="AF113" s="14"/>
      <c r="AG113" s="14"/>
      <c r="AH113" s="14"/>
      <c r="AI113" s="56"/>
      <c r="AJ113" s="14"/>
      <c r="AK113" s="14"/>
      <c r="AL113" s="14"/>
      <c r="AM113" s="14"/>
      <c r="AN113" s="56"/>
      <c r="AO113" s="14"/>
      <c r="AP113" s="14"/>
      <c r="AQ113" s="14"/>
      <c r="AR113" s="14"/>
      <c r="AS113" s="56"/>
      <c r="AT113" s="14"/>
      <c r="AU113" s="14"/>
      <c r="AV113" s="14"/>
      <c r="AW113" s="14"/>
      <c r="AX113" s="56"/>
      <c r="AY113" s="58"/>
      <c r="AZ113" s="58"/>
      <c r="BA113" s="58"/>
      <c r="BB113" s="58"/>
      <c r="BC113" s="57"/>
      <c r="BD113" s="58"/>
      <c r="BE113" s="58"/>
      <c r="BF113" s="58"/>
      <c r="BG113" s="58"/>
      <c r="BH113" s="57"/>
      <c r="BI113" s="57"/>
      <c r="BJ113" s="57"/>
      <c r="BK113" s="57"/>
      <c r="BL113" s="57"/>
    </row>
    <row r="114" spans="3:67" s="41" customFormat="1" ht="12.75" customHeight="1">
      <c r="C114" s="84" t="s">
        <v>249</v>
      </c>
      <c r="E114" s="48">
        <v>1904</v>
      </c>
      <c r="F114" s="48">
        <v>1904</v>
      </c>
      <c r="G114" s="48">
        <v>1904</v>
      </c>
      <c r="H114" s="48">
        <v>1904</v>
      </c>
      <c r="I114" s="48">
        <v>1904</v>
      </c>
      <c r="J114" s="48">
        <v>1904</v>
      </c>
      <c r="K114" s="48">
        <v>1904</v>
      </c>
      <c r="L114" s="48">
        <v>1904</v>
      </c>
      <c r="M114" s="48">
        <v>1904</v>
      </c>
      <c r="N114" s="48">
        <v>1904</v>
      </c>
      <c r="O114" s="48">
        <v>1904</v>
      </c>
      <c r="P114" s="48">
        <v>1904</v>
      </c>
      <c r="Q114" s="48">
        <v>1904</v>
      </c>
      <c r="R114" s="48">
        <v>1904</v>
      </c>
      <c r="S114" s="48">
        <v>1678</v>
      </c>
      <c r="T114" s="48">
        <v>1656</v>
      </c>
      <c r="U114" s="39">
        <v>463</v>
      </c>
      <c r="V114" s="39">
        <v>408</v>
      </c>
      <c r="W114" s="39">
        <v>182</v>
      </c>
      <c r="X114" s="39">
        <v>269</v>
      </c>
      <c r="Y114" s="50">
        <f>SUM(U114:X114)</f>
        <v>1322</v>
      </c>
      <c r="Z114" s="39">
        <v>210</v>
      </c>
      <c r="AA114" s="39">
        <v>80</v>
      </c>
      <c r="AB114" s="39">
        <v>24</v>
      </c>
      <c r="AC114" s="39">
        <v>30</v>
      </c>
      <c r="AD114" s="50">
        <f>SUM(Z114:AC114)</f>
        <v>344</v>
      </c>
      <c r="AE114" s="39">
        <v>-93</v>
      </c>
      <c r="AF114" s="39">
        <v>61</v>
      </c>
      <c r="AG114" s="39">
        <v>252</v>
      </c>
      <c r="AH114" s="39">
        <v>333</v>
      </c>
      <c r="AI114" s="50">
        <f>SUM(AE114:AH114)</f>
        <v>553</v>
      </c>
      <c r="AJ114" s="39">
        <v>349</v>
      </c>
      <c r="AK114" s="39">
        <v>272</v>
      </c>
      <c r="AL114" s="39">
        <v>414</v>
      </c>
      <c r="AM114" s="39">
        <v>740</v>
      </c>
      <c r="AN114" s="50">
        <f>SUM(AJ114:AM114)</f>
        <v>1775</v>
      </c>
      <c r="AO114" s="39">
        <v>876</v>
      </c>
      <c r="AP114" s="39">
        <v>905</v>
      </c>
      <c r="AQ114" s="39">
        <v>822</v>
      </c>
      <c r="AR114" s="39">
        <v>595</v>
      </c>
      <c r="AS114" s="50">
        <f>SUM(AO114:AR114)</f>
        <v>3198</v>
      </c>
      <c r="AT114" s="39">
        <v>462</v>
      </c>
      <c r="AU114" s="39">
        <v>325</v>
      </c>
      <c r="AV114" s="39">
        <v>355</v>
      </c>
      <c r="AW114" s="39">
        <v>432</v>
      </c>
      <c r="AX114" s="50">
        <f>SUM(AT114:AW114)</f>
        <v>1574</v>
      </c>
      <c r="AY114" s="38">
        <f>AY92*AY87*3/1000000</f>
        <v>373.29599999999999</v>
      </c>
      <c r="AZ114" s="38">
        <f t="shared" ref="AZ114:BB114" si="401">AZ92*AZ87*3/1000000</f>
        <v>327.24</v>
      </c>
      <c r="BA114" s="38">
        <f t="shared" si="401"/>
        <v>362.09999999999997</v>
      </c>
      <c r="BB114" s="38">
        <f t="shared" si="401"/>
        <v>374.54399999999993</v>
      </c>
      <c r="BC114" s="50">
        <f>SUM(AY114:BB114)</f>
        <v>1437.1799999999998</v>
      </c>
      <c r="BD114" s="38">
        <f>BD92*BD87*3/1000000</f>
        <v>380.76191999999992</v>
      </c>
      <c r="BE114" s="38">
        <f t="shared" ref="BE114:BG114" si="402">BE92*BE87*3/1000000</f>
        <v>333.78480000000002</v>
      </c>
      <c r="BF114" s="38">
        <f t="shared" si="402"/>
        <v>369.34199999999998</v>
      </c>
      <c r="BG114" s="38">
        <f t="shared" si="402"/>
        <v>382.03487999999987</v>
      </c>
      <c r="BH114" s="50">
        <f>SUM(BD114:BG114)</f>
        <v>1465.9235999999999</v>
      </c>
      <c r="BI114" s="50">
        <f>BI92*BI87*12/1000000</f>
        <v>1495.242072</v>
      </c>
      <c r="BJ114" s="50">
        <f t="shared" ref="BJ114:BL114" si="403">BJ92*BJ87*12/1000000</f>
        <v>1525.1469134400004</v>
      </c>
      <c r="BK114" s="50">
        <f t="shared" si="403"/>
        <v>1555.6498517088</v>
      </c>
      <c r="BL114" s="50">
        <f t="shared" si="403"/>
        <v>1586.7628487429761</v>
      </c>
    </row>
    <row r="115" spans="3:67" s="38" customFormat="1" ht="12.75" customHeight="1">
      <c r="C115" s="99" t="s">
        <v>74</v>
      </c>
      <c r="E115" s="56">
        <f t="shared" ref="E115:Q115" si="404">E114/E79</f>
        <v>0.31765098431765099</v>
      </c>
      <c r="F115" s="56">
        <f t="shared" si="404"/>
        <v>0.31765098431765099</v>
      </c>
      <c r="G115" s="56">
        <f t="shared" si="404"/>
        <v>0.31765098431765099</v>
      </c>
      <c r="H115" s="56">
        <f t="shared" si="404"/>
        <v>0.31765098431765099</v>
      </c>
      <c r="I115" s="56">
        <f t="shared" si="404"/>
        <v>0.31765098431765099</v>
      </c>
      <c r="J115" s="56">
        <f t="shared" si="404"/>
        <v>0.31765098431765099</v>
      </c>
      <c r="K115" s="56">
        <f t="shared" si="404"/>
        <v>0.31765098431765099</v>
      </c>
      <c r="L115" s="56">
        <f t="shared" si="404"/>
        <v>0.31765098431765099</v>
      </c>
      <c r="M115" s="56">
        <f t="shared" si="404"/>
        <v>0.31765098431765099</v>
      </c>
      <c r="N115" s="56">
        <f t="shared" si="404"/>
        <v>0.31765098431765099</v>
      </c>
      <c r="O115" s="56">
        <f t="shared" si="404"/>
        <v>0.31765098431765099</v>
      </c>
      <c r="P115" s="56">
        <f t="shared" si="404"/>
        <v>0.31765098431765099</v>
      </c>
      <c r="Q115" s="56">
        <f t="shared" si="404"/>
        <v>0.31765098431765099</v>
      </c>
      <c r="R115" s="56">
        <f>R114/R79</f>
        <v>0.31765098431765099</v>
      </c>
      <c r="S115" s="56">
        <f t="shared" ref="S115" si="405">S114/S79</f>
        <v>0.25895061728395063</v>
      </c>
      <c r="T115" s="56">
        <f t="shared" ref="T115" si="406">T114/T79</f>
        <v>0.23868550014413376</v>
      </c>
      <c r="U115" s="14">
        <f t="shared" ref="U115" si="407">U114/U79</f>
        <v>0.33526430123099205</v>
      </c>
      <c r="V115" s="14">
        <f t="shared" ref="V115" si="408">V114/V79</f>
        <v>0.76547842401500943</v>
      </c>
      <c r="W115" s="14">
        <f t="shared" ref="W115" si="409">W114/W79</f>
        <v>0.21016166281755197</v>
      </c>
      <c r="X115" s="14">
        <f t="shared" ref="X115" si="410">X114/X79</f>
        <v>0.30707762557077628</v>
      </c>
      <c r="Y115" s="56">
        <f>Y114/Y79</f>
        <v>0.36159737417943105</v>
      </c>
      <c r="Z115" s="14">
        <f t="shared" ref="Z115" si="411">Z114/Z79</f>
        <v>0.21716649431230611</v>
      </c>
      <c r="AA115" s="14">
        <f t="shared" ref="AA115" si="412">AA114/AA79</f>
        <v>4.8691418137553254E-2</v>
      </c>
      <c r="AB115" s="14">
        <f t="shared" ref="AB115" si="413">AB114/AB79</f>
        <v>1.2539184952978056E-2</v>
      </c>
      <c r="AC115" s="14">
        <f t="shared" ref="AC115" si="414">AC114/AC79</f>
        <v>1.7740981667652277E-2</v>
      </c>
      <c r="AD115" s="56">
        <f>AD114/AD79</f>
        <v>5.5349959774738534E-2</v>
      </c>
      <c r="AE115" s="14">
        <f t="shared" ref="AE115" si="415">AE114/AE79</f>
        <v>-5.9691912708600768E-2</v>
      </c>
      <c r="AF115" s="14">
        <f t="shared" ref="AF115" si="416">AF114/AF79</f>
        <v>3.0917384693360365E-2</v>
      </c>
      <c r="AG115" s="14">
        <f t="shared" ref="AG115" si="417">AG114/AG79</f>
        <v>0.12340842311459353</v>
      </c>
      <c r="AH115" s="14">
        <f t="shared" ref="AH115" si="418">AH114/AH79</f>
        <v>0.19507908611599298</v>
      </c>
      <c r="AI115" s="56">
        <f>AI114/AI79</f>
        <v>7.5961538461538455E-2</v>
      </c>
      <c r="AJ115" s="14">
        <f t="shared" ref="AJ115:AM115" si="419">AJ114/AJ79</f>
        <v>0.20173410404624278</v>
      </c>
      <c r="AK115" s="14">
        <f t="shared" si="419"/>
        <v>0.13498759305210919</v>
      </c>
      <c r="AL115" s="14">
        <f t="shared" si="419"/>
        <v>0.19060773480662985</v>
      </c>
      <c r="AM115" s="14">
        <f t="shared" si="419"/>
        <v>0.4099722991689751</v>
      </c>
      <c r="AN115" s="56">
        <f>AN114/AN79</f>
        <v>0.22986272986272988</v>
      </c>
      <c r="AO115" s="14">
        <f t="shared" ref="AO115:AT115" si="420">AO114/AO79</f>
        <v>0.50373778033352501</v>
      </c>
      <c r="AP115" s="14">
        <f t="shared" si="420"/>
        <v>0.46939834024896265</v>
      </c>
      <c r="AQ115" s="14">
        <f t="shared" si="420"/>
        <v>0.39864209505334625</v>
      </c>
      <c r="AR115" s="14">
        <f t="shared" si="420"/>
        <v>0.35650089874176155</v>
      </c>
      <c r="AS115" s="56">
        <f>AS114/AS79</f>
        <v>0.43227899432278993</v>
      </c>
      <c r="AT115" s="14">
        <f t="shared" si="420"/>
        <v>0.31006711409395971</v>
      </c>
      <c r="AU115" s="14">
        <f t="shared" ref="AU115:AW115" si="421">AU114/AU79</f>
        <v>0.18699654775604144</v>
      </c>
      <c r="AV115" s="14">
        <f t="shared" si="421"/>
        <v>0.18586387434554974</v>
      </c>
      <c r="AW115" s="14">
        <f t="shared" si="421"/>
        <v>0.26650215916101172</v>
      </c>
      <c r="AX115" s="56">
        <f>AX114/AX79</f>
        <v>0.23287468560437935</v>
      </c>
      <c r="AY115" s="14">
        <f t="shared" ref="AY115:BB115" si="422">AY114/AY79</f>
        <v>0.24255609581997614</v>
      </c>
      <c r="AZ115" s="14">
        <f t="shared" si="422"/>
        <v>0.18270532063891534</v>
      </c>
      <c r="BA115" s="14">
        <f t="shared" si="422"/>
        <v>0.18235602195605327</v>
      </c>
      <c r="BB115" s="14">
        <f t="shared" si="422"/>
        <v>0.22174661771551674</v>
      </c>
      <c r="BC115" s="56">
        <f>BC114/BC79</f>
        <v>0.20516989411432462</v>
      </c>
      <c r="BD115" s="14">
        <f t="shared" ref="BD115:BG115" si="423">BD114/BD79</f>
        <v>0.24255609581997603</v>
      </c>
      <c r="BE115" s="14">
        <f t="shared" si="423"/>
        <v>0.18270532063891537</v>
      </c>
      <c r="BF115" s="14">
        <f t="shared" si="423"/>
        <v>0.18235602195605324</v>
      </c>
      <c r="BG115" s="14">
        <f t="shared" si="423"/>
        <v>0.22174661771551668</v>
      </c>
      <c r="BH115" s="56">
        <f>BH114/BH79</f>
        <v>0.20516989411432457</v>
      </c>
      <c r="BI115" s="56">
        <f t="shared" ref="BI115:BL115" si="424">BI114/BI79</f>
        <v>0.20464583840608777</v>
      </c>
      <c r="BJ115" s="56">
        <f t="shared" si="424"/>
        <v>0.20520651193596753</v>
      </c>
      <c r="BK115" s="56">
        <f t="shared" si="424"/>
        <v>0.20520651193596748</v>
      </c>
      <c r="BL115" s="56">
        <f t="shared" si="424"/>
        <v>0.20520651193596742</v>
      </c>
      <c r="BO115" s="139"/>
    </row>
    <row r="116" spans="3:67" s="41" customFormat="1" ht="12.75" customHeight="1">
      <c r="C116" s="84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39"/>
      <c r="V116" s="39"/>
      <c r="W116" s="39"/>
      <c r="X116" s="39"/>
      <c r="Y116" s="50"/>
      <c r="Z116" s="39"/>
      <c r="AA116" s="39"/>
      <c r="AB116" s="39"/>
      <c r="AC116" s="39"/>
      <c r="AD116" s="50"/>
      <c r="AE116" s="39"/>
      <c r="AF116" s="39"/>
      <c r="AG116" s="39"/>
      <c r="AH116" s="39"/>
      <c r="AI116" s="50"/>
      <c r="AJ116" s="39"/>
      <c r="AK116" s="39"/>
      <c r="AL116" s="39"/>
      <c r="AM116" s="39"/>
      <c r="AN116" s="50"/>
      <c r="AO116" s="39"/>
      <c r="AP116" s="39"/>
      <c r="AQ116" s="39"/>
      <c r="AR116" s="39"/>
      <c r="AS116" s="50"/>
      <c r="AT116" s="39"/>
      <c r="AU116" s="39"/>
      <c r="AV116" s="39"/>
      <c r="AW116" s="39"/>
      <c r="AX116" s="50"/>
      <c r="AY116" s="58"/>
      <c r="AZ116" s="58"/>
      <c r="BA116" s="58"/>
      <c r="BB116" s="58"/>
      <c r="BC116" s="57"/>
      <c r="BD116" s="58"/>
      <c r="BE116" s="58"/>
      <c r="BF116" s="58"/>
      <c r="BG116" s="58"/>
      <c r="BH116" s="57"/>
      <c r="BI116" s="57"/>
      <c r="BJ116" s="57"/>
      <c r="BK116" s="57"/>
      <c r="BL116" s="57"/>
    </row>
    <row r="117" spans="3:67" s="41" customFormat="1" ht="12.75" customHeight="1">
      <c r="C117" s="84" t="s">
        <v>250</v>
      </c>
      <c r="E117" s="48">
        <v>3651</v>
      </c>
      <c r="F117" s="48">
        <v>3651</v>
      </c>
      <c r="G117" s="48">
        <v>3651</v>
      </c>
      <c r="H117" s="48">
        <v>3651</v>
      </c>
      <c r="I117" s="48">
        <v>3651</v>
      </c>
      <c r="J117" s="48">
        <v>3651</v>
      </c>
      <c r="K117" s="48">
        <v>3651</v>
      </c>
      <c r="L117" s="48">
        <v>3651</v>
      </c>
      <c r="M117" s="48">
        <v>3651</v>
      </c>
      <c r="N117" s="48">
        <v>3651</v>
      </c>
      <c r="O117" s="48">
        <v>3651</v>
      </c>
      <c r="P117" s="48">
        <v>3651</v>
      </c>
      <c r="Q117" s="48">
        <v>3651</v>
      </c>
      <c r="R117" s="48">
        <v>3651</v>
      </c>
      <c r="S117" s="48">
        <v>4014</v>
      </c>
      <c r="T117" s="48">
        <v>4146</v>
      </c>
      <c r="U117" s="39">
        <v>969</v>
      </c>
      <c r="V117" s="39">
        <v>561</v>
      </c>
      <c r="W117" s="39">
        <v>648</v>
      </c>
      <c r="X117" s="39">
        <v>680</v>
      </c>
      <c r="Y117" s="50">
        <f>SUM(U117:X117)</f>
        <v>2858</v>
      </c>
      <c r="Z117" s="39">
        <v>641</v>
      </c>
      <c r="AA117" s="39">
        <v>793</v>
      </c>
      <c r="AB117" s="39">
        <v>960</v>
      </c>
      <c r="AC117" s="39">
        <v>908</v>
      </c>
      <c r="AD117" s="50">
        <f>SUM(Z117:AC117)</f>
        <v>3302</v>
      </c>
      <c r="AE117" s="39">
        <v>903</v>
      </c>
      <c r="AF117" s="39">
        <v>1002</v>
      </c>
      <c r="AG117" s="39">
        <v>1077</v>
      </c>
      <c r="AH117" s="39">
        <v>1098</v>
      </c>
      <c r="AI117" s="50">
        <f>SUM(AE117:AH117)</f>
        <v>4080</v>
      </c>
      <c r="AJ117" s="39">
        <v>1039</v>
      </c>
      <c r="AK117" s="39">
        <v>1139</v>
      </c>
      <c r="AL117" s="39">
        <v>1241</v>
      </c>
      <c r="AM117" s="39">
        <v>1163</v>
      </c>
      <c r="AN117" s="50">
        <f>SUM(AJ117:AM117)</f>
        <v>4582</v>
      </c>
      <c r="AO117" s="39">
        <v>1152</v>
      </c>
      <c r="AP117" s="39">
        <v>1199</v>
      </c>
      <c r="AQ117" s="39">
        <v>1202</v>
      </c>
      <c r="AR117" s="39">
        <v>1173</v>
      </c>
      <c r="AS117" s="50">
        <f>SUM(AO117:AR117)</f>
        <v>4726</v>
      </c>
      <c r="AT117" s="39">
        <v>1066</v>
      </c>
      <c r="AU117" s="39">
        <v>1132</v>
      </c>
      <c r="AV117" s="39">
        <v>1155</v>
      </c>
      <c r="AW117" s="39">
        <v>1108</v>
      </c>
      <c r="AX117" s="50">
        <f>SUM(AT117:AW117)</f>
        <v>4461</v>
      </c>
      <c r="AY117" s="38">
        <f>AY95*AY88*AY84/1000000</f>
        <v>1022.8270000000001</v>
      </c>
      <c r="AZ117" s="38">
        <f t="shared" ref="AZ117:BB117" si="425">AZ95*AZ88*AZ84/1000000</f>
        <v>1086.154</v>
      </c>
      <c r="BA117" s="38">
        <f t="shared" si="425"/>
        <v>1119.1949999999999</v>
      </c>
      <c r="BB117" s="38">
        <f t="shared" si="425"/>
        <v>1073.652</v>
      </c>
      <c r="BC117" s="50">
        <f>SUM(AY117:BB117)</f>
        <v>4301.8280000000004</v>
      </c>
      <c r="BD117" s="38">
        <f t="shared" ref="BD117:BG117" si="426">BD95*BD88*BD84/1000000</f>
        <v>1011.9850338000001</v>
      </c>
      <c r="BE117" s="38">
        <f t="shared" si="426"/>
        <v>1074.6407676000001</v>
      </c>
      <c r="BF117" s="38">
        <f t="shared" si="426"/>
        <v>1107.331533</v>
      </c>
      <c r="BG117" s="38">
        <f t="shared" si="426"/>
        <v>1062.2712887999999</v>
      </c>
      <c r="BH117" s="50">
        <f>SUM(BD117:BG117)</f>
        <v>4256.2286232000006</v>
      </c>
      <c r="BI117" s="50">
        <f t="shared" ref="BI117:BL117" si="427">BI95*BI88*BI84/1000000</f>
        <v>4222.6498945880367</v>
      </c>
      <c r="BJ117" s="50">
        <f t="shared" si="427"/>
        <v>4166.4748062362632</v>
      </c>
      <c r="BK117" s="50">
        <f t="shared" si="427"/>
        <v>4122.3101732901587</v>
      </c>
      <c r="BL117" s="50">
        <f t="shared" si="427"/>
        <v>4078.6136854532833</v>
      </c>
    </row>
    <row r="118" spans="3:67" s="38" customFormat="1" ht="12.75" customHeight="1">
      <c r="C118" s="99" t="s">
        <v>74</v>
      </c>
      <c r="E118" s="56">
        <f t="shared" ref="E118:Q118" si="428">E117/E79</f>
        <v>0.60910910910910909</v>
      </c>
      <c r="F118" s="56">
        <f t="shared" si="428"/>
        <v>0.60910910910910909</v>
      </c>
      <c r="G118" s="56">
        <f t="shared" si="428"/>
        <v>0.60910910910910909</v>
      </c>
      <c r="H118" s="56">
        <f t="shared" si="428"/>
        <v>0.60910910910910909</v>
      </c>
      <c r="I118" s="56">
        <f t="shared" si="428"/>
        <v>0.60910910910910909</v>
      </c>
      <c r="J118" s="56">
        <f t="shared" si="428"/>
        <v>0.60910910910910909</v>
      </c>
      <c r="K118" s="56">
        <f t="shared" si="428"/>
        <v>0.60910910910910909</v>
      </c>
      <c r="L118" s="56">
        <f t="shared" si="428"/>
        <v>0.60910910910910909</v>
      </c>
      <c r="M118" s="56">
        <f t="shared" si="428"/>
        <v>0.60910910910910909</v>
      </c>
      <c r="N118" s="56">
        <f t="shared" si="428"/>
        <v>0.60910910910910909</v>
      </c>
      <c r="O118" s="56">
        <f t="shared" si="428"/>
        <v>0.60910910910910909</v>
      </c>
      <c r="P118" s="56">
        <f t="shared" si="428"/>
        <v>0.60910910910910909</v>
      </c>
      <c r="Q118" s="56">
        <f t="shared" si="428"/>
        <v>0.60910910910910909</v>
      </c>
      <c r="R118" s="56">
        <f>R117/R79</f>
        <v>0.60910910910910909</v>
      </c>
      <c r="S118" s="56">
        <f t="shared" ref="S118" si="429">S117/S79</f>
        <v>0.61944444444444446</v>
      </c>
      <c r="T118" s="56">
        <f t="shared" ref="T118" si="430">T117/T79</f>
        <v>0.5975785528970885</v>
      </c>
      <c r="U118" s="14">
        <f t="shared" ref="U118" si="431">U117/U79</f>
        <v>0.70166545981173067</v>
      </c>
      <c r="V118" s="14">
        <f t="shared" ref="V118" si="432">V117/V79</f>
        <v>1.0525328330206378</v>
      </c>
      <c r="W118" s="14">
        <f t="shared" ref="W118" si="433">W117/W79</f>
        <v>0.74826789838337182</v>
      </c>
      <c r="X118" s="14">
        <f t="shared" ref="X118" si="434">X117/X79</f>
        <v>0.77625570776255703</v>
      </c>
      <c r="Y118" s="56">
        <f>Y117/Y79</f>
        <v>0.78172866520787743</v>
      </c>
      <c r="Z118" s="14">
        <f t="shared" ref="Z118" si="435">Z117/Z79</f>
        <v>0.66287487073422957</v>
      </c>
      <c r="AA118" s="14">
        <f t="shared" ref="AA118" si="436">AA117/AA79</f>
        <v>0.48265368228849664</v>
      </c>
      <c r="AB118" s="14">
        <f t="shared" ref="AB118" si="437">AB117/AB79</f>
        <v>0.50156739811912221</v>
      </c>
      <c r="AC118" s="14">
        <f t="shared" ref="AC118" si="438">AC117/AC79</f>
        <v>0.53696037847427558</v>
      </c>
      <c r="AD118" s="56">
        <f>AD117/AD79</f>
        <v>0.53129525341914718</v>
      </c>
      <c r="AE118" s="14">
        <f t="shared" ref="AE118" si="439">AE117/AE79</f>
        <v>0.57958921694480103</v>
      </c>
      <c r="AF118" s="14">
        <f t="shared" ref="AF118" si="440">AF117/AF79</f>
        <v>0.50785605676634571</v>
      </c>
      <c r="AG118" s="14">
        <f t="shared" ref="AG118" si="441">AG117/AG79</f>
        <v>0.5274240940254652</v>
      </c>
      <c r="AH118" s="14">
        <f t="shared" ref="AH118" si="442">AH117/AH79</f>
        <v>0.64323374340949035</v>
      </c>
      <c r="AI118" s="56">
        <f>AI117/AI79</f>
        <v>0.56043956043956045</v>
      </c>
      <c r="AJ118" s="14">
        <f t="shared" ref="AJ118:AM118" si="443">AJ117/AJ79</f>
        <v>0.60057803468208093</v>
      </c>
      <c r="AK118" s="14">
        <f t="shared" si="443"/>
        <v>0.56526054590570718</v>
      </c>
      <c r="AL118" s="14">
        <f t="shared" si="443"/>
        <v>0.57136279926335176</v>
      </c>
      <c r="AM118" s="14">
        <f t="shared" si="443"/>
        <v>0.6443213296398892</v>
      </c>
      <c r="AN118" s="56">
        <f>AN117/AN79</f>
        <v>0.59336959336959338</v>
      </c>
      <c r="AO118" s="14">
        <f t="shared" ref="AO118:AT118" si="444">AO117/AO79</f>
        <v>0.66244968372627944</v>
      </c>
      <c r="AP118" s="14">
        <f t="shared" si="444"/>
        <v>0.62188796680497926</v>
      </c>
      <c r="AQ118" s="14">
        <f t="shared" si="444"/>
        <v>0.58292919495635309</v>
      </c>
      <c r="AR118" s="14">
        <f t="shared" si="444"/>
        <v>0.70281605751947274</v>
      </c>
      <c r="AS118" s="56">
        <f>AS117/AS79</f>
        <v>0.63882130305487972</v>
      </c>
      <c r="AT118" s="14">
        <f t="shared" si="444"/>
        <v>0.71543624161073827</v>
      </c>
      <c r="AU118" s="14">
        <f t="shared" ref="AU118:AW118" si="445">AU117/AU79</f>
        <v>0.65132336018411963</v>
      </c>
      <c r="AV118" s="14">
        <f t="shared" si="445"/>
        <v>0.60471204188481675</v>
      </c>
      <c r="AW118" s="14">
        <f t="shared" si="445"/>
        <v>0.68352868599629857</v>
      </c>
      <c r="AX118" s="56">
        <f>AX117/AX79</f>
        <v>0.66000887705281841</v>
      </c>
      <c r="AY118" s="14">
        <f t="shared" ref="AY118:BB118" si="446">AY117/AY79</f>
        <v>0.66460107748076269</v>
      </c>
      <c r="AZ118" s="14">
        <f t="shared" si="446"/>
        <v>0.60642377103422707</v>
      </c>
      <c r="BA118" s="14">
        <f t="shared" si="446"/>
        <v>0.56363421152473092</v>
      </c>
      <c r="BB118" s="14">
        <f t="shared" si="446"/>
        <v>0.63564948204616822</v>
      </c>
      <c r="BC118" s="56">
        <f>BC117/BC79</f>
        <v>0.61412321021586513</v>
      </c>
      <c r="BD118" s="14">
        <f t="shared" ref="BD118:BG118" si="447">BD117/BD79</f>
        <v>0.64466304515633965</v>
      </c>
      <c r="BE118" s="14">
        <f t="shared" si="447"/>
        <v>0.58823105790320029</v>
      </c>
      <c r="BF118" s="14">
        <f t="shared" si="447"/>
        <v>0.54672518517898894</v>
      </c>
      <c r="BG118" s="14">
        <f t="shared" si="447"/>
        <v>0.61657999758478299</v>
      </c>
      <c r="BH118" s="56">
        <f>BH117/BH79</f>
        <v>0.59569951390938902</v>
      </c>
      <c r="BI118" s="56">
        <f t="shared" ref="BI118:BL118" si="448">BI117/BI79</f>
        <v>0.57793165679018355</v>
      </c>
      <c r="BJ118" s="56">
        <f t="shared" si="448"/>
        <v>0.56059370708647815</v>
      </c>
      <c r="BK118" s="56">
        <f t="shared" si="448"/>
        <v>0.54377589587388375</v>
      </c>
      <c r="BL118" s="56">
        <f t="shared" si="448"/>
        <v>0.52746261899766711</v>
      </c>
      <c r="BO118" s="139"/>
    </row>
    <row r="119" spans="3:67" s="41" customFormat="1" ht="12.75" customHeight="1">
      <c r="C119" s="84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39"/>
      <c r="V119" s="39"/>
      <c r="W119" s="39"/>
      <c r="X119" s="39"/>
      <c r="Y119" s="50"/>
      <c r="Z119" s="39"/>
      <c r="AA119" s="39"/>
      <c r="AB119" s="39"/>
      <c r="AC119" s="39"/>
      <c r="AD119" s="50"/>
      <c r="AE119" s="39"/>
      <c r="AF119" s="39"/>
      <c r="AG119" s="39"/>
      <c r="AH119" s="39"/>
      <c r="AI119" s="50"/>
      <c r="AJ119" s="39"/>
      <c r="AK119" s="39"/>
      <c r="AL119" s="39"/>
      <c r="AM119" s="39"/>
      <c r="AN119" s="50"/>
      <c r="AO119" s="39"/>
      <c r="AP119" s="39"/>
      <c r="AQ119" s="39"/>
      <c r="AR119" s="39"/>
      <c r="AS119" s="50"/>
      <c r="AT119" s="39"/>
      <c r="AU119" s="39"/>
      <c r="AV119" s="39"/>
      <c r="AW119" s="39"/>
      <c r="AX119" s="50"/>
      <c r="AY119" s="58"/>
      <c r="AZ119" s="58"/>
      <c r="BA119" s="58"/>
      <c r="BB119" s="58"/>
      <c r="BC119" s="57"/>
      <c r="BD119" s="58"/>
      <c r="BE119" s="58"/>
      <c r="BF119" s="58"/>
      <c r="BG119" s="58"/>
      <c r="BH119" s="57"/>
      <c r="BI119" s="57"/>
      <c r="BJ119" s="57"/>
      <c r="BK119" s="57"/>
      <c r="BL119" s="57"/>
    </row>
    <row r="120" spans="3:67" s="41" customFormat="1" ht="12.75" customHeight="1">
      <c r="C120" s="84" t="s">
        <v>251</v>
      </c>
      <c r="E120" s="48">
        <v>181</v>
      </c>
      <c r="F120" s="48">
        <v>181</v>
      </c>
      <c r="G120" s="48">
        <v>181</v>
      </c>
      <c r="H120" s="48">
        <v>181</v>
      </c>
      <c r="I120" s="48">
        <v>181</v>
      </c>
      <c r="J120" s="48">
        <v>181</v>
      </c>
      <c r="K120" s="48">
        <v>181</v>
      </c>
      <c r="L120" s="48">
        <v>181</v>
      </c>
      <c r="M120" s="48">
        <v>181</v>
      </c>
      <c r="N120" s="48">
        <v>181</v>
      </c>
      <c r="O120" s="48">
        <v>181</v>
      </c>
      <c r="P120" s="48">
        <v>181</v>
      </c>
      <c r="Q120" s="48">
        <v>181</v>
      </c>
      <c r="R120" s="48">
        <v>181</v>
      </c>
      <c r="S120" s="48">
        <v>159</v>
      </c>
      <c r="T120" s="68">
        <v>150</v>
      </c>
      <c r="U120" s="67">
        <v>45</v>
      </c>
      <c r="V120" s="67">
        <v>45</v>
      </c>
      <c r="W120" s="67">
        <v>45</v>
      </c>
      <c r="X120" s="67">
        <v>45</v>
      </c>
      <c r="Y120" s="50">
        <f>SUM(U120:X120)</f>
        <v>180</v>
      </c>
      <c r="Z120" s="39">
        <v>44</v>
      </c>
      <c r="AA120" s="39">
        <v>43</v>
      </c>
      <c r="AB120" s="39">
        <v>42</v>
      </c>
      <c r="AC120" s="39">
        <v>36</v>
      </c>
      <c r="AD120" s="50">
        <f>SUM(Z120:AC120)</f>
        <v>165</v>
      </c>
      <c r="AE120" s="39">
        <v>26</v>
      </c>
      <c r="AF120" s="39">
        <v>30</v>
      </c>
      <c r="AG120" s="39">
        <v>29</v>
      </c>
      <c r="AH120" s="39">
        <v>29</v>
      </c>
      <c r="AI120" s="50">
        <f>SUM(AE120:AH120)</f>
        <v>114</v>
      </c>
      <c r="AJ120" s="39">
        <v>28</v>
      </c>
      <c r="AK120" s="39">
        <v>27</v>
      </c>
      <c r="AL120" s="39">
        <v>27</v>
      </c>
      <c r="AM120" s="39">
        <v>43</v>
      </c>
      <c r="AN120" s="50">
        <f>SUM(AJ120:AM120)</f>
        <v>125</v>
      </c>
      <c r="AO120" s="39">
        <v>25</v>
      </c>
      <c r="AP120" s="39">
        <v>28</v>
      </c>
      <c r="AQ120" s="39">
        <v>28</v>
      </c>
      <c r="AR120" s="39">
        <v>28</v>
      </c>
      <c r="AS120" s="50">
        <f>SUM(AO120:AR120)</f>
        <v>109</v>
      </c>
      <c r="AT120" s="39">
        <v>26</v>
      </c>
      <c r="AU120" s="39">
        <v>23</v>
      </c>
      <c r="AV120" s="39">
        <v>23</v>
      </c>
      <c r="AW120" s="39">
        <v>24</v>
      </c>
      <c r="AX120" s="50">
        <f>SUM(AT120:AW120)</f>
        <v>96</v>
      </c>
      <c r="AY120" s="67">
        <f>AT120</f>
        <v>26</v>
      </c>
      <c r="AZ120" s="67">
        <f>AU120</f>
        <v>23</v>
      </c>
      <c r="BA120" s="67">
        <f>AV120</f>
        <v>23</v>
      </c>
      <c r="BB120" s="67">
        <f>AW120</f>
        <v>24</v>
      </c>
      <c r="BC120" s="50">
        <f>SUM(AY120:BB120)</f>
        <v>96</v>
      </c>
      <c r="BD120" s="67">
        <f>AY120</f>
        <v>26</v>
      </c>
      <c r="BE120" s="67">
        <f>AZ120</f>
        <v>23</v>
      </c>
      <c r="BF120" s="67">
        <f>BA120</f>
        <v>23</v>
      </c>
      <c r="BG120" s="67">
        <f>BB120</f>
        <v>24</v>
      </c>
      <c r="BH120" s="50">
        <f>SUM(BD120:BG120)</f>
        <v>96</v>
      </c>
      <c r="BI120" s="140">
        <f>BH120</f>
        <v>96</v>
      </c>
      <c r="BJ120" s="140">
        <f t="shared" ref="BJ120:BL120" si="449">BI120</f>
        <v>96</v>
      </c>
      <c r="BK120" s="140">
        <f t="shared" si="449"/>
        <v>96</v>
      </c>
      <c r="BL120" s="140">
        <f t="shared" si="449"/>
        <v>96</v>
      </c>
    </row>
    <row r="121" spans="3:67" s="38" customFormat="1" ht="12.75" customHeight="1">
      <c r="C121" s="99" t="s">
        <v>74</v>
      </c>
      <c r="E121" s="56">
        <f t="shared" ref="E121:Q121" si="450">E120/E79</f>
        <v>3.0196863530196863E-2</v>
      </c>
      <c r="F121" s="56">
        <f t="shared" si="450"/>
        <v>3.0196863530196863E-2</v>
      </c>
      <c r="G121" s="56">
        <f t="shared" si="450"/>
        <v>3.0196863530196863E-2</v>
      </c>
      <c r="H121" s="56">
        <f t="shared" si="450"/>
        <v>3.0196863530196863E-2</v>
      </c>
      <c r="I121" s="56">
        <f t="shared" si="450"/>
        <v>3.0196863530196863E-2</v>
      </c>
      <c r="J121" s="56">
        <f t="shared" si="450"/>
        <v>3.0196863530196863E-2</v>
      </c>
      <c r="K121" s="56">
        <f t="shared" si="450"/>
        <v>3.0196863530196863E-2</v>
      </c>
      <c r="L121" s="56">
        <f t="shared" si="450"/>
        <v>3.0196863530196863E-2</v>
      </c>
      <c r="M121" s="56">
        <f t="shared" si="450"/>
        <v>3.0196863530196863E-2</v>
      </c>
      <c r="N121" s="56">
        <f t="shared" si="450"/>
        <v>3.0196863530196863E-2</v>
      </c>
      <c r="O121" s="56">
        <f t="shared" si="450"/>
        <v>3.0196863530196863E-2</v>
      </c>
      <c r="P121" s="56">
        <f t="shared" si="450"/>
        <v>3.0196863530196863E-2</v>
      </c>
      <c r="Q121" s="56">
        <f t="shared" si="450"/>
        <v>3.0196863530196863E-2</v>
      </c>
      <c r="R121" s="56">
        <f>R120/R79</f>
        <v>3.0196863530196863E-2</v>
      </c>
      <c r="S121" s="56">
        <f t="shared" ref="S121" si="451">S120/S79</f>
        <v>2.4537037037037038E-2</v>
      </c>
      <c r="T121" s="56">
        <f t="shared" ref="T121" si="452">T120/T79</f>
        <v>2.1620063418852694E-2</v>
      </c>
      <c r="U121" s="14">
        <f t="shared" ref="U121" si="453">U120/U79</f>
        <v>3.2585083272990589E-2</v>
      </c>
      <c r="V121" s="14">
        <f t="shared" ref="V121" si="454">V120/V79</f>
        <v>8.4427767354596617E-2</v>
      </c>
      <c r="W121" s="14">
        <f t="shared" ref="W121" si="455">W120/W79</f>
        <v>5.1963048498845268E-2</v>
      </c>
      <c r="X121" s="14">
        <f t="shared" ref="X121" si="456">X120/X79</f>
        <v>5.1369863013698627E-2</v>
      </c>
      <c r="Y121" s="56">
        <f>Y120/Y79</f>
        <v>4.923413566739606E-2</v>
      </c>
      <c r="Z121" s="14">
        <f t="shared" ref="Z121" si="457">Z120/Z79</f>
        <v>4.5501551189245086E-2</v>
      </c>
      <c r="AA121" s="14">
        <f t="shared" ref="AA121" si="458">AA120/AA79</f>
        <v>2.6171637248934874E-2</v>
      </c>
      <c r="AB121" s="14">
        <f t="shared" ref="AB121" si="459">AB120/AB79</f>
        <v>2.1943573667711599E-2</v>
      </c>
      <c r="AC121" s="14">
        <f t="shared" ref="AC121" si="460">AC120/AC79</f>
        <v>2.1289178001182733E-2</v>
      </c>
      <c r="AD121" s="56">
        <f>AD120/AD79</f>
        <v>2.6548672566371681E-2</v>
      </c>
      <c r="AE121" s="14">
        <f t="shared" ref="AE121" si="461">AE120/AE79</f>
        <v>1.668806161745828E-2</v>
      </c>
      <c r="AF121" s="14">
        <f t="shared" ref="AF121" si="462">AF120/AF79</f>
        <v>1.5205271160669031E-2</v>
      </c>
      <c r="AG121" s="14">
        <f t="shared" ref="AG121" si="463">AG120/AG79</f>
        <v>1.4201762977473066E-2</v>
      </c>
      <c r="AH121" s="14">
        <f t="shared" ref="AH121" si="464">AH120/AH79</f>
        <v>1.698886936145284E-2</v>
      </c>
      <c r="AI121" s="56">
        <f>AI120/AI79</f>
        <v>1.5659340659340659E-2</v>
      </c>
      <c r="AJ121" s="14">
        <f t="shared" ref="AJ121:AM121" si="465">AJ120/AJ79</f>
        <v>1.6184971098265895E-2</v>
      </c>
      <c r="AK121" s="14">
        <f t="shared" si="465"/>
        <v>1.3399503722084368E-2</v>
      </c>
      <c r="AL121" s="14">
        <f t="shared" si="465"/>
        <v>1.2430939226519336E-2</v>
      </c>
      <c r="AM121" s="14">
        <f t="shared" si="465"/>
        <v>2.3822714681440444E-2</v>
      </c>
      <c r="AN121" s="56">
        <f>AN120/AN79</f>
        <v>1.6187516187516189E-2</v>
      </c>
      <c r="AO121" s="14">
        <f t="shared" ref="AO121:AT121" si="466">AO120/AO79</f>
        <v>1.437607820586544E-2</v>
      </c>
      <c r="AP121" s="14">
        <f t="shared" si="466"/>
        <v>1.4522821576763486E-2</v>
      </c>
      <c r="AQ121" s="14">
        <f t="shared" si="466"/>
        <v>1.3579049466537343E-2</v>
      </c>
      <c r="AR121" s="14">
        <f t="shared" si="466"/>
        <v>1.6776512881965248E-2</v>
      </c>
      <c r="AS121" s="56">
        <f>AS120/AS79</f>
        <v>1.4733711814003785E-2</v>
      </c>
      <c r="AT121" s="14">
        <f t="shared" si="466"/>
        <v>1.74496644295302E-2</v>
      </c>
      <c r="AU121" s="14">
        <f t="shared" ref="AU121:AW121" si="467">AU120/AU79</f>
        <v>1.3233601841196778E-2</v>
      </c>
      <c r="AV121" s="14">
        <f t="shared" si="467"/>
        <v>1.2041884816753926E-2</v>
      </c>
      <c r="AW121" s="14">
        <f t="shared" si="467"/>
        <v>1.4805675508945095E-2</v>
      </c>
      <c r="AX121" s="56">
        <f>AX120/AX79</f>
        <v>1.4203284509542832E-2</v>
      </c>
      <c r="AY121" s="14">
        <f t="shared" ref="AY121:BB121" si="468">AY120/AY79</f>
        <v>1.6893988929212688E-2</v>
      </c>
      <c r="AZ121" s="14">
        <f t="shared" si="468"/>
        <v>1.2841408063485677E-2</v>
      </c>
      <c r="BA121" s="14">
        <f t="shared" si="468"/>
        <v>1.1582956379423434E-2</v>
      </c>
      <c r="BB121" s="14">
        <f t="shared" si="468"/>
        <v>1.4209061752884583E-2</v>
      </c>
      <c r="BC121" s="56">
        <f>BC120/BC79</f>
        <v>1.3704831569445141E-2</v>
      </c>
      <c r="BD121" s="14">
        <f t="shared" ref="BD121:BG121" si="469">BD120/BD79</f>
        <v>1.6562734244326163E-2</v>
      </c>
      <c r="BE121" s="14">
        <f t="shared" si="469"/>
        <v>1.258961574851537E-2</v>
      </c>
      <c r="BF121" s="14">
        <f t="shared" si="469"/>
        <v>1.1355839587670032E-2</v>
      </c>
      <c r="BG121" s="14">
        <f t="shared" si="469"/>
        <v>1.3930452698906451E-2</v>
      </c>
      <c r="BH121" s="56">
        <f>BH120/BH79</f>
        <v>1.3436109381808958E-2</v>
      </c>
      <c r="BI121" s="56">
        <f t="shared" ref="BI121:BL121" si="470">BI120/BI79</f>
        <v>1.3139009966932248E-2</v>
      </c>
      <c r="BJ121" s="56">
        <f t="shared" si="470"/>
        <v>1.2916673778934202E-2</v>
      </c>
      <c r="BK121" s="56">
        <f t="shared" si="470"/>
        <v>1.2663405665621765E-2</v>
      </c>
      <c r="BL121" s="56">
        <f t="shared" si="470"/>
        <v>1.2415103593746825E-2</v>
      </c>
      <c r="BO121" s="139"/>
    </row>
    <row r="122" spans="3:67" s="38" customFormat="1" ht="12.75" customHeight="1">
      <c r="C122" s="99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39"/>
      <c r="V122" s="39"/>
      <c r="W122" s="39"/>
      <c r="X122" s="39"/>
      <c r="Y122" s="56"/>
      <c r="Z122" s="39"/>
      <c r="AA122" s="39"/>
      <c r="AB122" s="39"/>
      <c r="AC122" s="39"/>
      <c r="AD122" s="56"/>
      <c r="AE122" s="39"/>
      <c r="AF122" s="39"/>
      <c r="AG122" s="39"/>
      <c r="AH122" s="39"/>
      <c r="AI122" s="56"/>
      <c r="AJ122" s="39"/>
      <c r="AK122" s="39"/>
      <c r="AL122" s="39"/>
      <c r="AM122" s="39"/>
      <c r="AN122" s="56"/>
      <c r="AO122" s="39"/>
      <c r="AP122" s="39"/>
      <c r="AQ122" s="39"/>
      <c r="AR122" s="39"/>
      <c r="AS122" s="56"/>
      <c r="AT122" s="39"/>
      <c r="AU122" s="39"/>
      <c r="AV122" s="39"/>
      <c r="AW122" s="39"/>
      <c r="AX122" s="56"/>
      <c r="AY122" s="82"/>
      <c r="AZ122" s="82"/>
      <c r="BA122" s="82"/>
      <c r="BB122" s="82"/>
      <c r="BC122" s="50"/>
      <c r="BD122" s="82"/>
      <c r="BE122" s="82"/>
      <c r="BF122" s="82"/>
      <c r="BG122" s="82"/>
      <c r="BH122" s="50"/>
      <c r="BI122" s="50"/>
      <c r="BJ122" s="50"/>
      <c r="BK122" s="50"/>
      <c r="BL122" s="50"/>
      <c r="BO122" s="139"/>
    </row>
    <row r="123" spans="3:67" s="41" customFormat="1" ht="12.75" customHeight="1">
      <c r="C123" s="84" t="s">
        <v>252</v>
      </c>
      <c r="E123" s="48">
        <v>392</v>
      </c>
      <c r="F123" s="48">
        <v>392</v>
      </c>
      <c r="G123" s="48">
        <v>392</v>
      </c>
      <c r="H123" s="48">
        <v>392</v>
      </c>
      <c r="I123" s="48">
        <v>392</v>
      </c>
      <c r="J123" s="48">
        <v>392</v>
      </c>
      <c r="K123" s="48">
        <v>392</v>
      </c>
      <c r="L123" s="48">
        <v>392</v>
      </c>
      <c r="M123" s="48">
        <v>392</v>
      </c>
      <c r="N123" s="48">
        <v>392</v>
      </c>
      <c r="O123" s="48">
        <v>392</v>
      </c>
      <c r="P123" s="48">
        <v>392</v>
      </c>
      <c r="Q123" s="48">
        <v>392</v>
      </c>
      <c r="R123" s="48">
        <v>392</v>
      </c>
      <c r="S123" s="48">
        <v>466</v>
      </c>
      <c r="T123" s="48">
        <v>490</v>
      </c>
      <c r="U123" s="39">
        <v>115</v>
      </c>
      <c r="V123" s="39">
        <v>63</v>
      </c>
      <c r="W123" s="39">
        <v>46</v>
      </c>
      <c r="X123" s="39">
        <v>50</v>
      </c>
      <c r="Y123" s="50">
        <f>SUM(U123:X123)</f>
        <v>274</v>
      </c>
      <c r="Z123" s="39">
        <v>52</v>
      </c>
      <c r="AA123" s="39">
        <v>69</v>
      </c>
      <c r="AB123" s="39">
        <v>72</v>
      </c>
      <c r="AC123" s="39">
        <v>90</v>
      </c>
      <c r="AD123" s="50">
        <f>SUM(Z123:AC123)</f>
        <v>283</v>
      </c>
      <c r="AE123" s="39">
        <v>86</v>
      </c>
      <c r="AF123" s="39">
        <v>99</v>
      </c>
      <c r="AG123" s="39">
        <v>85</v>
      </c>
      <c r="AH123" s="39">
        <v>81</v>
      </c>
      <c r="AI123" s="50">
        <f>SUM(AE123:AH123)</f>
        <v>351</v>
      </c>
      <c r="AJ123" s="39">
        <v>105</v>
      </c>
      <c r="AK123" s="39">
        <v>148</v>
      </c>
      <c r="AL123" s="39">
        <v>114</v>
      </c>
      <c r="AM123" s="39">
        <v>134</v>
      </c>
      <c r="AN123" s="50">
        <f>SUM(AJ123:AM123)</f>
        <v>501</v>
      </c>
      <c r="AO123" s="39">
        <v>124</v>
      </c>
      <c r="AP123" s="39">
        <v>137</v>
      </c>
      <c r="AQ123" s="39">
        <v>113</v>
      </c>
      <c r="AR123" s="39">
        <v>108</v>
      </c>
      <c r="AS123" s="50">
        <f>SUM(AO123:AR123)</f>
        <v>482</v>
      </c>
      <c r="AT123" s="39">
        <v>114</v>
      </c>
      <c r="AU123" s="39">
        <v>132</v>
      </c>
      <c r="AV123" s="39">
        <v>127</v>
      </c>
      <c r="AW123" s="39">
        <v>131</v>
      </c>
      <c r="AX123" s="50">
        <f>SUM(AT123:AW123)</f>
        <v>504</v>
      </c>
      <c r="AY123" s="82">
        <f>AY96*AY88*AY84/1000000</f>
        <v>111.68580000000001</v>
      </c>
      <c r="AZ123" s="82">
        <f t="shared" ref="AZ123:BB123" si="471">AZ96*AZ88*AZ84/1000000</f>
        <v>129.32039999999998</v>
      </c>
      <c r="BA123" s="82">
        <f t="shared" si="471"/>
        <v>125.6538</v>
      </c>
      <c r="BB123" s="82">
        <f t="shared" si="471"/>
        <v>129.6114</v>
      </c>
      <c r="BC123" s="50">
        <f>SUM(AY123:BB123)</f>
        <v>496.27139999999997</v>
      </c>
      <c r="BD123" s="82">
        <f>BD96*BD88*BD84/1000000</f>
        <v>113.91951600000002</v>
      </c>
      <c r="BE123" s="82">
        <f t="shared" ref="BE123:BL123" si="472">BE96*BE88*BE84/1000000</f>
        <v>131.90680799999998</v>
      </c>
      <c r="BF123" s="82">
        <f t="shared" si="472"/>
        <v>128.166876</v>
      </c>
      <c r="BG123" s="82">
        <f t="shared" si="472"/>
        <v>132.20362799999998</v>
      </c>
      <c r="BH123" s="50">
        <f>SUM(BD123:BG123)</f>
        <v>506.19682799999998</v>
      </c>
      <c r="BI123" s="50">
        <f t="shared" si="472"/>
        <v>517.73534199715061</v>
      </c>
      <c r="BJ123" s="50">
        <f t="shared" si="472"/>
        <v>526.64717985120001</v>
      </c>
      <c r="BK123" s="50">
        <f t="shared" si="472"/>
        <v>537.18012344822409</v>
      </c>
      <c r="BL123" s="50">
        <f t="shared" si="472"/>
        <v>547.92372591718856</v>
      </c>
    </row>
    <row r="124" spans="3:67" s="38" customFormat="1" ht="12.75" customHeight="1">
      <c r="C124" s="99" t="s">
        <v>74</v>
      </c>
      <c r="E124" s="56">
        <f t="shared" ref="E124:Q124" si="473">E123/E79</f>
        <v>6.5398732065398729E-2</v>
      </c>
      <c r="F124" s="56">
        <f t="shared" si="473"/>
        <v>6.5398732065398729E-2</v>
      </c>
      <c r="G124" s="56">
        <f t="shared" si="473"/>
        <v>6.5398732065398729E-2</v>
      </c>
      <c r="H124" s="56">
        <f t="shared" si="473"/>
        <v>6.5398732065398729E-2</v>
      </c>
      <c r="I124" s="56">
        <f t="shared" si="473"/>
        <v>6.5398732065398729E-2</v>
      </c>
      <c r="J124" s="56">
        <f t="shared" si="473"/>
        <v>6.5398732065398729E-2</v>
      </c>
      <c r="K124" s="56">
        <f t="shared" si="473"/>
        <v>6.5398732065398729E-2</v>
      </c>
      <c r="L124" s="56">
        <f t="shared" si="473"/>
        <v>6.5398732065398729E-2</v>
      </c>
      <c r="M124" s="56">
        <f t="shared" si="473"/>
        <v>6.5398732065398729E-2</v>
      </c>
      <c r="N124" s="56">
        <f t="shared" si="473"/>
        <v>6.5398732065398729E-2</v>
      </c>
      <c r="O124" s="56">
        <f t="shared" si="473"/>
        <v>6.5398732065398729E-2</v>
      </c>
      <c r="P124" s="56">
        <f t="shared" si="473"/>
        <v>6.5398732065398729E-2</v>
      </c>
      <c r="Q124" s="56">
        <f t="shared" si="473"/>
        <v>6.5398732065398729E-2</v>
      </c>
      <c r="R124" s="56">
        <f>R123/R79</f>
        <v>6.5398732065398729E-2</v>
      </c>
      <c r="S124" s="56">
        <f t="shared" ref="S124" si="474">S123/S79</f>
        <v>7.1913580246913578E-2</v>
      </c>
      <c r="T124" s="56">
        <f t="shared" ref="T124" si="475">T123/T79</f>
        <v>7.0625540501585468E-2</v>
      </c>
      <c r="U124" s="14">
        <f t="shared" ref="U124" si="476">U123/U79</f>
        <v>8.3272990586531495E-2</v>
      </c>
      <c r="V124" s="14">
        <f t="shared" ref="V124" si="477">V123/V79</f>
        <v>0.11819887429643527</v>
      </c>
      <c r="W124" s="14">
        <f t="shared" ref="W124" si="478">W123/W79</f>
        <v>5.3117782909930716E-2</v>
      </c>
      <c r="X124" s="14">
        <f t="shared" ref="X124" si="479">X123/X79</f>
        <v>5.7077625570776253E-2</v>
      </c>
      <c r="Y124" s="56">
        <f>Y123/Y79</f>
        <v>7.4945295404814011E-2</v>
      </c>
      <c r="Z124" s="14">
        <f t="shared" ref="Z124" si="480">Z123/Z79</f>
        <v>5.3774560496380561E-2</v>
      </c>
      <c r="AA124" s="14">
        <f t="shared" ref="AA124" si="481">AA123/AA79</f>
        <v>4.1996348143639686E-2</v>
      </c>
      <c r="AB124" s="14">
        <f t="shared" ref="AB124" si="482">AB123/AB79</f>
        <v>3.7617554858934171E-2</v>
      </c>
      <c r="AC124" s="14">
        <f t="shared" ref="AC124" si="483">AC123/AC79</f>
        <v>5.322294500295683E-2</v>
      </c>
      <c r="AD124" s="56">
        <f>AD123/AD79</f>
        <v>4.5534995977473854E-2</v>
      </c>
      <c r="AE124" s="14">
        <f t="shared" ref="AE124" si="484">AE123/AE79</f>
        <v>5.5198973042362001E-2</v>
      </c>
      <c r="AF124" s="14">
        <f t="shared" ref="AF124" si="485">AF123/AF79</f>
        <v>5.0177394830207805E-2</v>
      </c>
      <c r="AG124" s="14">
        <f t="shared" ref="AG124" si="486">AG123/AG79</f>
        <v>4.1625857002938298E-2</v>
      </c>
      <c r="AH124" s="14">
        <f t="shared" ref="AH124" si="487">AH123/AH79</f>
        <v>4.7451669595782071E-2</v>
      </c>
      <c r="AI124" s="56">
        <f>AI123/AI79</f>
        <v>4.8214285714285716E-2</v>
      </c>
      <c r="AJ124" s="14">
        <f t="shared" ref="AJ124:AM124" si="488">AJ123/AJ79</f>
        <v>6.0693641618497107E-2</v>
      </c>
      <c r="AK124" s="14">
        <f t="shared" si="488"/>
        <v>7.3449131513647639E-2</v>
      </c>
      <c r="AL124" s="14">
        <f t="shared" si="488"/>
        <v>5.2486187845303865E-2</v>
      </c>
      <c r="AM124" s="14">
        <f t="shared" si="488"/>
        <v>7.4238227146814398E-2</v>
      </c>
      <c r="AN124" s="56">
        <f>AN123/AN79</f>
        <v>6.487956487956488E-2</v>
      </c>
      <c r="AO124" s="14">
        <f t="shared" ref="AO124:AT124" si="489">AO123/AO79</f>
        <v>7.1305347901092581E-2</v>
      </c>
      <c r="AP124" s="14">
        <f t="shared" si="489"/>
        <v>7.1058091286307051E-2</v>
      </c>
      <c r="AQ124" s="14">
        <f t="shared" si="489"/>
        <v>5.48011639185257E-2</v>
      </c>
      <c r="AR124" s="14">
        <f t="shared" si="489"/>
        <v>6.4709406830437383E-2</v>
      </c>
      <c r="AS124" s="56">
        <f>AS123/AS79</f>
        <v>6.5152743984860775E-2</v>
      </c>
      <c r="AT124" s="14">
        <f t="shared" si="489"/>
        <v>7.6510067114093958E-2</v>
      </c>
      <c r="AU124" s="14">
        <f t="shared" ref="AU124:AW124" si="490">AU123/AU79</f>
        <v>7.5949367088607597E-2</v>
      </c>
      <c r="AV124" s="14">
        <f t="shared" si="490"/>
        <v>6.6492146596858634E-2</v>
      </c>
      <c r="AW124" s="14">
        <f t="shared" si="490"/>
        <v>8.0814312152991979E-2</v>
      </c>
      <c r="AX124" s="56">
        <f>AX123/AX79</f>
        <v>7.456724367509987E-2</v>
      </c>
      <c r="AY124" s="14">
        <f t="shared" ref="AY124:BB124" si="491">AY123/AY79</f>
        <v>7.2569948798087036E-2</v>
      </c>
      <c r="AZ124" s="14">
        <f t="shared" si="491"/>
        <v>7.220243597100838E-2</v>
      </c>
      <c r="BA124" s="14">
        <f t="shared" si="491"/>
        <v>6.3280108013425929E-2</v>
      </c>
      <c r="BB124" s="14">
        <f t="shared" si="491"/>
        <v>7.6735682769909372E-2</v>
      </c>
      <c r="BC124" s="56">
        <f>BC123/BC79</f>
        <v>7.0847041143049336E-2</v>
      </c>
      <c r="BD124" s="14">
        <f t="shared" ref="BD124:BG124" si="492">BD123/BD79</f>
        <v>7.2569948798087008E-2</v>
      </c>
      <c r="BE124" s="14">
        <f t="shared" si="492"/>
        <v>7.2202435971008394E-2</v>
      </c>
      <c r="BF124" s="14">
        <f t="shared" si="492"/>
        <v>6.3280108013425915E-2</v>
      </c>
      <c r="BG124" s="14">
        <f t="shared" si="492"/>
        <v>7.6735682769909344E-2</v>
      </c>
      <c r="BH124" s="56">
        <f>BH123/BH79</f>
        <v>7.0847041143049322E-2</v>
      </c>
      <c r="BI124" s="56">
        <f t="shared" ref="BI124:BL124" si="493">BI123/BI79</f>
        <v>7.0859685611808734E-2</v>
      </c>
      <c r="BJ124" s="56">
        <f t="shared" si="493"/>
        <v>7.0859685611808748E-2</v>
      </c>
      <c r="BK124" s="56">
        <f t="shared" si="493"/>
        <v>7.0859685611808748E-2</v>
      </c>
      <c r="BL124" s="56">
        <f t="shared" si="493"/>
        <v>7.0859685611808734E-2</v>
      </c>
      <c r="BO124" s="139"/>
    </row>
    <row r="125" spans="3:67" s="38" customFormat="1" ht="12.75" customHeight="1">
      <c r="C125" s="99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14"/>
      <c r="V125" s="14"/>
      <c r="W125" s="14"/>
      <c r="X125" s="14"/>
      <c r="Y125" s="56"/>
      <c r="Z125" s="14"/>
      <c r="AA125" s="14"/>
      <c r="AB125" s="14"/>
      <c r="AC125" s="14"/>
      <c r="AD125" s="56"/>
      <c r="AE125" s="14"/>
      <c r="AF125" s="14"/>
      <c r="AG125" s="14"/>
      <c r="AH125" s="14"/>
      <c r="AI125" s="56"/>
      <c r="AJ125" s="14"/>
      <c r="AK125" s="14"/>
      <c r="AL125" s="14"/>
      <c r="AM125" s="14"/>
      <c r="AN125" s="56"/>
      <c r="AO125" s="14"/>
      <c r="AP125" s="14"/>
      <c r="AQ125" s="14"/>
      <c r="AR125" s="14"/>
      <c r="AS125" s="56"/>
      <c r="AT125" s="14"/>
      <c r="AU125" s="14"/>
      <c r="AV125" s="14"/>
      <c r="AW125" s="14"/>
      <c r="AX125" s="56"/>
      <c r="AY125" s="136"/>
      <c r="AZ125" s="136"/>
      <c r="BA125" s="136"/>
      <c r="BB125" s="136"/>
      <c r="BC125" s="56"/>
      <c r="BD125" s="136"/>
      <c r="BE125" s="136"/>
      <c r="BF125" s="136"/>
      <c r="BG125" s="136"/>
      <c r="BH125" s="56"/>
      <c r="BI125" s="56"/>
      <c r="BJ125" s="56"/>
      <c r="BK125" s="56"/>
      <c r="BL125" s="56"/>
      <c r="BO125" s="139"/>
    </row>
    <row r="126" spans="3:67" s="41" customFormat="1" ht="12.75" customHeight="1">
      <c r="C126" s="84" t="s">
        <v>253</v>
      </c>
      <c r="E126" s="48">
        <v>226</v>
      </c>
      <c r="F126" s="48">
        <v>226</v>
      </c>
      <c r="G126" s="48">
        <v>226</v>
      </c>
      <c r="H126" s="48">
        <v>226</v>
      </c>
      <c r="I126" s="48">
        <v>226</v>
      </c>
      <c r="J126" s="48">
        <v>226</v>
      </c>
      <c r="K126" s="48">
        <v>226</v>
      </c>
      <c r="L126" s="48">
        <v>226</v>
      </c>
      <c r="M126" s="48">
        <v>226</v>
      </c>
      <c r="N126" s="48">
        <v>226</v>
      </c>
      <c r="O126" s="48">
        <v>226</v>
      </c>
      <c r="P126" s="48">
        <v>226</v>
      </c>
      <c r="Q126" s="48">
        <v>226</v>
      </c>
      <c r="R126" s="48">
        <v>226</v>
      </c>
      <c r="S126" s="48">
        <v>291</v>
      </c>
      <c r="T126" s="48">
        <v>345</v>
      </c>
      <c r="U126" s="39">
        <v>86</v>
      </c>
      <c r="V126" s="39">
        <v>98</v>
      </c>
      <c r="W126" s="39">
        <v>77</v>
      </c>
      <c r="X126" s="39">
        <v>63</v>
      </c>
      <c r="Y126" s="50">
        <f>SUM(U126:X126)</f>
        <v>324</v>
      </c>
      <c r="Z126" s="39">
        <v>72</v>
      </c>
      <c r="AA126" s="39">
        <v>77</v>
      </c>
      <c r="AB126" s="39">
        <v>34</v>
      </c>
      <c r="AC126" s="39">
        <v>31</v>
      </c>
      <c r="AD126" s="50">
        <f>SUM(Z126:AC126)</f>
        <v>214</v>
      </c>
      <c r="AE126" s="39">
        <v>2</v>
      </c>
      <c r="AF126" s="39">
        <v>35</v>
      </c>
      <c r="AG126" s="39">
        <v>31</v>
      </c>
      <c r="AH126" s="39">
        <v>72</v>
      </c>
      <c r="AI126" s="50">
        <f>SUM(AE126:AH126)</f>
        <v>140</v>
      </c>
      <c r="AJ126" s="39">
        <v>93</v>
      </c>
      <c r="AK126" s="39">
        <v>113</v>
      </c>
      <c r="AL126" s="39">
        <v>132</v>
      </c>
      <c r="AM126" s="39">
        <v>118</v>
      </c>
      <c r="AN126" s="50">
        <f>SUM(AJ126:AM126)</f>
        <v>456</v>
      </c>
      <c r="AO126" s="39">
        <v>116</v>
      </c>
      <c r="AP126" s="39">
        <v>123</v>
      </c>
      <c r="AQ126" s="39">
        <v>124</v>
      </c>
      <c r="AR126" s="39">
        <v>116</v>
      </c>
      <c r="AS126" s="50">
        <f>SUM(AO126:AR126)</f>
        <v>479</v>
      </c>
      <c r="AT126" s="39">
        <v>117</v>
      </c>
      <c r="AU126" s="39">
        <v>129</v>
      </c>
      <c r="AV126" s="39">
        <v>134</v>
      </c>
      <c r="AW126" s="39">
        <v>130</v>
      </c>
      <c r="AX126" s="50">
        <f>SUM(AT126:AW126)</f>
        <v>510</v>
      </c>
      <c r="AY126" s="82">
        <f>AY97*AY88*AY84/1000000</f>
        <v>118.17</v>
      </c>
      <c r="AZ126" s="82">
        <f t="shared" ref="AZ126:BB126" si="494">AZ97*AZ88*AZ84/1000000</f>
        <v>130.29</v>
      </c>
      <c r="BA126" s="82">
        <f t="shared" si="494"/>
        <v>136.67999999999998</v>
      </c>
      <c r="BB126" s="82">
        <f t="shared" si="494"/>
        <v>132.6</v>
      </c>
      <c r="BC126" s="50">
        <f>SUM(AY126:BB126)</f>
        <v>517.74</v>
      </c>
      <c r="BD126" s="82">
        <f t="shared" ref="BD126:BG126" si="495">BD97*BD88*BD84/1000000</f>
        <v>138.61340999999996</v>
      </c>
      <c r="BE126" s="82">
        <f t="shared" si="495"/>
        <v>152.83016999999998</v>
      </c>
      <c r="BF126" s="82">
        <f t="shared" si="495"/>
        <v>160.32563999999996</v>
      </c>
      <c r="BG126" s="82">
        <f t="shared" si="495"/>
        <v>155.53979999999996</v>
      </c>
      <c r="BH126" s="50">
        <f>SUM(BD126:BG126)</f>
        <v>607.30901999999992</v>
      </c>
      <c r="BI126" s="50">
        <f t="shared" ref="BI126:BL126" si="496">BI97*BI88*BI84/1000000</f>
        <v>621.15233793534219</v>
      </c>
      <c r="BJ126" s="50">
        <f t="shared" si="496"/>
        <v>631.84430440799986</v>
      </c>
      <c r="BK126" s="50">
        <f t="shared" si="496"/>
        <v>644.4811904961598</v>
      </c>
      <c r="BL126" s="50">
        <f t="shared" si="496"/>
        <v>657.37081430608305</v>
      </c>
    </row>
    <row r="127" spans="3:67" s="38" customFormat="1" ht="12.75" customHeight="1">
      <c r="C127" s="99" t="s">
        <v>74</v>
      </c>
      <c r="E127" s="56">
        <f t="shared" ref="E127:Q127" si="497">E126/E79</f>
        <v>3.7704371037704368E-2</v>
      </c>
      <c r="F127" s="56">
        <f t="shared" si="497"/>
        <v>3.7704371037704368E-2</v>
      </c>
      <c r="G127" s="56">
        <f t="shared" si="497"/>
        <v>3.7704371037704368E-2</v>
      </c>
      <c r="H127" s="56">
        <f t="shared" si="497"/>
        <v>3.7704371037704368E-2</v>
      </c>
      <c r="I127" s="56">
        <f t="shared" si="497"/>
        <v>3.7704371037704368E-2</v>
      </c>
      <c r="J127" s="56">
        <f t="shared" si="497"/>
        <v>3.7704371037704368E-2</v>
      </c>
      <c r="K127" s="56">
        <f t="shared" si="497"/>
        <v>3.7704371037704368E-2</v>
      </c>
      <c r="L127" s="56">
        <f t="shared" si="497"/>
        <v>3.7704371037704368E-2</v>
      </c>
      <c r="M127" s="56">
        <f t="shared" si="497"/>
        <v>3.7704371037704368E-2</v>
      </c>
      <c r="N127" s="56">
        <f t="shared" si="497"/>
        <v>3.7704371037704368E-2</v>
      </c>
      <c r="O127" s="56">
        <f t="shared" si="497"/>
        <v>3.7704371037704368E-2</v>
      </c>
      <c r="P127" s="56">
        <f t="shared" si="497"/>
        <v>3.7704371037704368E-2</v>
      </c>
      <c r="Q127" s="56">
        <f t="shared" si="497"/>
        <v>3.7704371037704368E-2</v>
      </c>
      <c r="R127" s="56">
        <f>R126/R79</f>
        <v>3.7704371037704368E-2</v>
      </c>
      <c r="S127" s="56">
        <f t="shared" ref="S127" si="498">S126/S79</f>
        <v>4.490740740740741E-2</v>
      </c>
      <c r="T127" s="56">
        <f t="shared" ref="T127" si="499">T126/T79</f>
        <v>4.9726145863361201E-2</v>
      </c>
      <c r="U127" s="14">
        <f t="shared" ref="U127" si="500">U126/U79</f>
        <v>6.2273714699493124E-2</v>
      </c>
      <c r="V127" s="14">
        <f t="shared" ref="V127" si="501">V126/V79</f>
        <v>0.18386491557223264</v>
      </c>
      <c r="W127" s="14">
        <f t="shared" ref="W127" si="502">W126/W79</f>
        <v>8.8914549653579672E-2</v>
      </c>
      <c r="X127" s="14">
        <f t="shared" ref="X127" si="503">X126/X79</f>
        <v>7.1917808219178078E-2</v>
      </c>
      <c r="Y127" s="56">
        <f t="shared" ref="Y127" si="504">Y126/Y79</f>
        <v>8.8621444201312904E-2</v>
      </c>
      <c r="Z127" s="14">
        <f t="shared" ref="Z127" si="505">Z126/Z79</f>
        <v>7.4457083764219237E-2</v>
      </c>
      <c r="AA127" s="14">
        <f t="shared" ref="AA127" si="506">AA126/AA79</f>
        <v>4.6865489957395007E-2</v>
      </c>
      <c r="AB127" s="14">
        <f t="shared" ref="AB127" si="507">AB126/AB79</f>
        <v>1.7763845350052248E-2</v>
      </c>
      <c r="AC127" s="14">
        <f t="shared" ref="AC127" si="508">AC126/AC79</f>
        <v>1.8332347723240685E-2</v>
      </c>
      <c r="AD127" s="56">
        <f t="shared" ref="AD127" si="509">AD126/AD79</f>
        <v>3.4432823813354788E-2</v>
      </c>
      <c r="AE127" s="14">
        <f t="shared" ref="AE127" si="510">AE126/AE79</f>
        <v>1.2836970474967907E-3</v>
      </c>
      <c r="AF127" s="14">
        <f t="shared" ref="AF127" si="511">AF126/AF79</f>
        <v>1.7739483020780537E-2</v>
      </c>
      <c r="AG127" s="14">
        <f t="shared" ref="AG127" si="512">AG126/AG79</f>
        <v>1.5181194906953967E-2</v>
      </c>
      <c r="AH127" s="14">
        <f t="shared" ref="AH127" si="513">AH126/AH79</f>
        <v>4.21792618629174E-2</v>
      </c>
      <c r="AI127" s="56">
        <f t="shared" ref="AI127" si="514">AI126/AI79</f>
        <v>1.9230769230769232E-2</v>
      </c>
      <c r="AJ127" s="14">
        <f t="shared" ref="AJ127:AM127" si="515">AJ126/AJ79</f>
        <v>5.3757225433526012E-2</v>
      </c>
      <c r="AK127" s="14">
        <f t="shared" si="515"/>
        <v>5.607940446650124E-2</v>
      </c>
      <c r="AL127" s="14">
        <f t="shared" si="515"/>
        <v>6.0773480662983423E-2</v>
      </c>
      <c r="AM127" s="14">
        <f t="shared" si="515"/>
        <v>6.5373961218836568E-2</v>
      </c>
      <c r="AN127" s="56">
        <f t="shared" ref="AN127" si="516">AN126/AN79</f>
        <v>5.9052059052059055E-2</v>
      </c>
      <c r="AO127" s="14">
        <f t="shared" ref="AO127:AT127" si="517">AO126/AO79</f>
        <v>6.6705002875215635E-2</v>
      </c>
      <c r="AP127" s="14">
        <f t="shared" si="517"/>
        <v>6.3796680497925307E-2</v>
      </c>
      <c r="AQ127" s="14">
        <f t="shared" si="517"/>
        <v>6.0135790494665373E-2</v>
      </c>
      <c r="AR127" s="14">
        <f t="shared" si="517"/>
        <v>6.9502696225284599E-2</v>
      </c>
      <c r="AS127" s="56">
        <f t="shared" si="517"/>
        <v>6.4747228980805621E-2</v>
      </c>
      <c r="AT127" s="14">
        <f t="shared" si="517"/>
        <v>7.8523489932885909E-2</v>
      </c>
      <c r="AU127" s="14">
        <f t="shared" ref="AU127:AW127" si="518">AU126/AU79</f>
        <v>7.4223245109321059E-2</v>
      </c>
      <c r="AV127" s="14">
        <f t="shared" si="518"/>
        <v>7.0157068062827219E-2</v>
      </c>
      <c r="AW127" s="14">
        <f t="shared" si="518"/>
        <v>8.019740900678593E-2</v>
      </c>
      <c r="AX127" s="56">
        <f t="shared" ref="AX127:BL127" si="519">AX126/AX79</f>
        <v>7.5454948956946294E-2</v>
      </c>
      <c r="AY127" s="14">
        <f t="shared" si="519"/>
        <v>7.6783179683271668E-2</v>
      </c>
      <c r="AZ127" s="14">
        <f t="shared" si="519"/>
        <v>7.2743785069197764E-2</v>
      </c>
      <c r="BA127" s="14">
        <f t="shared" si="519"/>
        <v>6.8832977301721512E-2</v>
      </c>
      <c r="BB127" s="14">
        <f t="shared" si="519"/>
        <v>7.8505066184687319E-2</v>
      </c>
      <c r="BC127" s="56">
        <f t="shared" si="519"/>
        <v>7.3911869757963822E-2</v>
      </c>
      <c r="BD127" s="14">
        <f t="shared" si="519"/>
        <v>8.8300656635762378E-2</v>
      </c>
      <c r="BE127" s="14">
        <f t="shared" si="519"/>
        <v>8.3655352829577437E-2</v>
      </c>
      <c r="BF127" s="14">
        <f t="shared" si="519"/>
        <v>7.9157923896979718E-2</v>
      </c>
      <c r="BG127" s="14">
        <f t="shared" si="519"/>
        <v>9.0280826112390369E-2</v>
      </c>
      <c r="BH127" s="56">
        <f t="shared" ref="BH127" si="520">BH126/BH79</f>
        <v>8.4998650221658367E-2</v>
      </c>
      <c r="BI127" s="56">
        <f t="shared" si="519"/>
        <v>8.5013820407455518E-2</v>
      </c>
      <c r="BJ127" s="56">
        <f t="shared" si="519"/>
        <v>8.5013820407455531E-2</v>
      </c>
      <c r="BK127" s="56">
        <f t="shared" si="519"/>
        <v>8.5013820407455518E-2</v>
      </c>
      <c r="BL127" s="56">
        <f t="shared" si="519"/>
        <v>8.5013820407455504E-2</v>
      </c>
      <c r="BO127" s="139"/>
    </row>
    <row r="128" spans="3:67" s="41" customFormat="1" ht="12.75" customHeight="1"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8"/>
      <c r="V128" s="58"/>
      <c r="W128" s="58"/>
      <c r="X128" s="58"/>
      <c r="Y128" s="57"/>
      <c r="Z128" s="58"/>
      <c r="AA128" s="58"/>
      <c r="AB128" s="58"/>
      <c r="AC128" s="58"/>
      <c r="AD128" s="57"/>
      <c r="AE128" s="58"/>
      <c r="AF128" s="58"/>
      <c r="AG128" s="58"/>
      <c r="AH128" s="58"/>
      <c r="AI128" s="57"/>
      <c r="AJ128" s="58"/>
      <c r="AK128" s="58"/>
      <c r="AL128" s="58"/>
      <c r="AM128" s="58"/>
      <c r="AN128" s="57"/>
      <c r="AO128" s="58"/>
      <c r="AP128" s="58"/>
      <c r="AQ128" s="58"/>
      <c r="AR128" s="58"/>
      <c r="AS128" s="57"/>
      <c r="AT128" s="58"/>
      <c r="AU128" s="58"/>
      <c r="AV128" s="58"/>
      <c r="AW128" s="58"/>
      <c r="AX128" s="57"/>
      <c r="AY128" s="58"/>
      <c r="AZ128" s="58"/>
      <c r="BA128" s="58"/>
      <c r="BB128" s="58"/>
      <c r="BC128" s="57"/>
      <c r="BD128" s="58"/>
      <c r="BE128" s="58"/>
      <c r="BF128" s="58"/>
      <c r="BG128" s="58"/>
      <c r="BH128" s="57"/>
      <c r="BI128" s="57"/>
      <c r="BJ128" s="57"/>
      <c r="BK128" s="57"/>
      <c r="BL128" s="57"/>
    </row>
    <row r="129" spans="2:64" s="41" customFormat="1" ht="12.75" customHeight="1">
      <c r="C129" s="41" t="s">
        <v>3</v>
      </c>
      <c r="E129" s="124">
        <f t="shared" ref="E129:Q129" si="521">E79-E117-E114-E123-E126-E120</f>
        <v>-360</v>
      </c>
      <c r="F129" s="124">
        <f t="shared" si="521"/>
        <v>-360</v>
      </c>
      <c r="G129" s="124">
        <f t="shared" si="521"/>
        <v>-360</v>
      </c>
      <c r="H129" s="124">
        <f t="shared" si="521"/>
        <v>-360</v>
      </c>
      <c r="I129" s="124">
        <f t="shared" si="521"/>
        <v>-360</v>
      </c>
      <c r="J129" s="124">
        <f t="shared" si="521"/>
        <v>-360</v>
      </c>
      <c r="K129" s="124">
        <f t="shared" si="521"/>
        <v>-360</v>
      </c>
      <c r="L129" s="124">
        <f t="shared" si="521"/>
        <v>-360</v>
      </c>
      <c r="M129" s="124">
        <f t="shared" si="521"/>
        <v>-360</v>
      </c>
      <c r="N129" s="124">
        <f t="shared" si="521"/>
        <v>-360</v>
      </c>
      <c r="O129" s="124">
        <f t="shared" si="521"/>
        <v>-360</v>
      </c>
      <c r="P129" s="124">
        <f t="shared" si="521"/>
        <v>-360</v>
      </c>
      <c r="Q129" s="124">
        <f t="shared" si="521"/>
        <v>-360</v>
      </c>
      <c r="R129" s="124">
        <f>R79-R117-R114-R123-R126-R120</f>
        <v>-360</v>
      </c>
      <c r="S129" s="124">
        <f t="shared" ref="S129" si="522">S79-S117-S114-S123-S126-S120</f>
        <v>-128</v>
      </c>
      <c r="T129" s="124">
        <f t="shared" ref="T129" si="523">T79-T117-T114-T123-T126-T120</f>
        <v>151</v>
      </c>
      <c r="U129" s="125">
        <f t="shared" ref="U129:AT129" si="524">U79-U117-U114-U123-U126-U120</f>
        <v>-297</v>
      </c>
      <c r="V129" s="125">
        <f t="shared" si="524"/>
        <v>-642</v>
      </c>
      <c r="W129" s="125">
        <f t="shared" si="524"/>
        <v>-132</v>
      </c>
      <c r="X129" s="125">
        <f t="shared" si="524"/>
        <v>-231</v>
      </c>
      <c r="Y129" s="49">
        <f t="shared" si="524"/>
        <v>-1302</v>
      </c>
      <c r="Z129" s="125">
        <f t="shared" si="524"/>
        <v>-52</v>
      </c>
      <c r="AA129" s="125">
        <f t="shared" si="524"/>
        <v>581</v>
      </c>
      <c r="AB129" s="125">
        <f t="shared" si="524"/>
        <v>782</v>
      </c>
      <c r="AC129" s="125">
        <f t="shared" si="524"/>
        <v>596</v>
      </c>
      <c r="AD129" s="49">
        <f t="shared" si="524"/>
        <v>1907</v>
      </c>
      <c r="AE129" s="125">
        <f t="shared" ref="AE129:AN129" si="525">AE79-AE117-AE114-AE123-AE126-AE120</f>
        <v>634</v>
      </c>
      <c r="AF129" s="125">
        <f t="shared" si="525"/>
        <v>746</v>
      </c>
      <c r="AG129" s="125">
        <f t="shared" si="525"/>
        <v>568</v>
      </c>
      <c r="AH129" s="125">
        <f t="shared" si="525"/>
        <v>94</v>
      </c>
      <c r="AI129" s="49">
        <f t="shared" si="525"/>
        <v>2042</v>
      </c>
      <c r="AJ129" s="125">
        <f t="shared" si="525"/>
        <v>116</v>
      </c>
      <c r="AK129" s="125">
        <f t="shared" si="525"/>
        <v>316</v>
      </c>
      <c r="AL129" s="125">
        <f t="shared" si="525"/>
        <v>244</v>
      </c>
      <c r="AM129" s="125">
        <f t="shared" si="525"/>
        <v>-393</v>
      </c>
      <c r="AN129" s="49">
        <f t="shared" si="525"/>
        <v>283</v>
      </c>
      <c r="AO129" s="125">
        <f t="shared" si="524"/>
        <v>-554</v>
      </c>
      <c r="AP129" s="125">
        <f t="shared" si="524"/>
        <v>-464</v>
      </c>
      <c r="AQ129" s="125">
        <f t="shared" si="524"/>
        <v>-227</v>
      </c>
      <c r="AR129" s="125">
        <f t="shared" si="524"/>
        <v>-351</v>
      </c>
      <c r="AS129" s="49">
        <f t="shared" si="524"/>
        <v>-1596</v>
      </c>
      <c r="AT129" s="125">
        <f t="shared" si="524"/>
        <v>-295</v>
      </c>
      <c r="AU129" s="125">
        <f t="shared" ref="AU129:AW129" si="526">AU79-AU117-AU114-AU123-AU126-AU120</f>
        <v>-3</v>
      </c>
      <c r="AV129" s="125">
        <f t="shared" si="526"/>
        <v>116</v>
      </c>
      <c r="AW129" s="125">
        <f t="shared" si="526"/>
        <v>-204</v>
      </c>
      <c r="AX129" s="49">
        <f t="shared" ref="AX129:BB129" si="527">AX79-AX117-AX114-AX123-AX126-AX120</f>
        <v>-386</v>
      </c>
      <c r="AY129" s="125">
        <f t="shared" si="527"/>
        <v>-112.96985966374771</v>
      </c>
      <c r="AZ129" s="125">
        <f t="shared" si="527"/>
        <v>95.076444584333842</v>
      </c>
      <c r="BA129" s="125">
        <f t="shared" si="527"/>
        <v>219.04733021994943</v>
      </c>
      <c r="BB129" s="125">
        <f t="shared" si="527"/>
        <v>-45.344433183928601</v>
      </c>
      <c r="BC129" s="49">
        <f t="shared" ref="BC129:BG129" si="528">BC79-BC117-BC114-BC123-BC126-BC120</f>
        <v>155.80948195660574</v>
      </c>
      <c r="BD129" s="125">
        <f t="shared" si="528"/>
        <v>-101.49076065702218</v>
      </c>
      <c r="BE129" s="125">
        <f t="shared" si="528"/>
        <v>110.73991587602026</v>
      </c>
      <c r="BF129" s="125">
        <f t="shared" si="528"/>
        <v>237.22360382434857</v>
      </c>
      <c r="BG129" s="125">
        <f t="shared" si="528"/>
        <v>-33.205370647606628</v>
      </c>
      <c r="BH129" s="49">
        <f t="shared" ref="BH129" si="529">BH79-BH117-BH114-BH123-BH126-BH120</f>
        <v>213.26738839573966</v>
      </c>
      <c r="BI129" s="49">
        <f t="shared" ref="BI129:BL129" si="530">BI79-BI117-BI114-BI123-BI126-BI120</f>
        <v>353.70693364107217</v>
      </c>
      <c r="BJ129" s="49">
        <f t="shared" si="530"/>
        <v>486.14076817973898</v>
      </c>
      <c r="BK129" s="49">
        <f t="shared" si="530"/>
        <v>625.27771261416433</v>
      </c>
      <c r="BL129" s="49">
        <f t="shared" si="530"/>
        <v>765.84595816912815</v>
      </c>
    </row>
    <row r="130" spans="2:64" s="41" customFormat="1" ht="12.75" customHeight="1">
      <c r="C130" s="126" t="s">
        <v>69</v>
      </c>
      <c r="E130" s="57">
        <f t="shared" ref="E130:Q130" si="531">E129/E79</f>
        <v>-6.006006006006006E-2</v>
      </c>
      <c r="F130" s="57">
        <f t="shared" si="531"/>
        <v>-6.006006006006006E-2</v>
      </c>
      <c r="G130" s="57">
        <f t="shared" si="531"/>
        <v>-6.006006006006006E-2</v>
      </c>
      <c r="H130" s="57">
        <f t="shared" si="531"/>
        <v>-6.006006006006006E-2</v>
      </c>
      <c r="I130" s="57">
        <f t="shared" si="531"/>
        <v>-6.006006006006006E-2</v>
      </c>
      <c r="J130" s="57">
        <f t="shared" si="531"/>
        <v>-6.006006006006006E-2</v>
      </c>
      <c r="K130" s="57">
        <f t="shared" si="531"/>
        <v>-6.006006006006006E-2</v>
      </c>
      <c r="L130" s="57">
        <f t="shared" si="531"/>
        <v>-6.006006006006006E-2</v>
      </c>
      <c r="M130" s="57">
        <f t="shared" si="531"/>
        <v>-6.006006006006006E-2</v>
      </c>
      <c r="N130" s="57">
        <f t="shared" si="531"/>
        <v>-6.006006006006006E-2</v>
      </c>
      <c r="O130" s="57">
        <f t="shared" si="531"/>
        <v>-6.006006006006006E-2</v>
      </c>
      <c r="P130" s="57">
        <f t="shared" si="531"/>
        <v>-6.006006006006006E-2</v>
      </c>
      <c r="Q130" s="57">
        <f t="shared" si="531"/>
        <v>-6.006006006006006E-2</v>
      </c>
      <c r="R130" s="57">
        <f>R129/R79</f>
        <v>-6.006006006006006E-2</v>
      </c>
      <c r="S130" s="57">
        <f t="shared" ref="S130" si="532">S129/S79</f>
        <v>-1.9753086419753086E-2</v>
      </c>
      <c r="T130" s="57">
        <f t="shared" ref="T130" si="533">T129/T79</f>
        <v>2.1764197174978381E-2</v>
      </c>
      <c r="U130" s="58">
        <f t="shared" ref="U130" si="534">U129/U79</f>
        <v>-0.21506154960173787</v>
      </c>
      <c r="V130" s="58">
        <f t="shared" ref="V130" si="535">V129/V79</f>
        <v>-1.2045028142589118</v>
      </c>
      <c r="W130" s="58">
        <f t="shared" ref="W130" si="536">W129/W79</f>
        <v>-0.15242494226327943</v>
      </c>
      <c r="X130" s="58">
        <f t="shared" ref="X130" si="537">X129/X79</f>
        <v>-0.2636986301369863</v>
      </c>
      <c r="Y130" s="57">
        <f t="shared" ref="Y130" si="538">Y129/Y79</f>
        <v>-0.35612691466083152</v>
      </c>
      <c r="Z130" s="58">
        <f t="shared" ref="Z130" si="539">Z129/Z79</f>
        <v>-5.3774560496380561E-2</v>
      </c>
      <c r="AA130" s="58">
        <f t="shared" ref="AA130" si="540">AA129/AA79</f>
        <v>0.35362142422398052</v>
      </c>
      <c r="AB130" s="58">
        <f t="shared" ref="AB130" si="541">AB129/AB79</f>
        <v>0.40856844305120166</v>
      </c>
      <c r="AC130" s="58">
        <f t="shared" ref="AC130" si="542">AC129/AC79</f>
        <v>0.35245416913069189</v>
      </c>
      <c r="AD130" s="57">
        <f t="shared" ref="AD130" si="543">AD129/AD79</f>
        <v>0.30683829444891392</v>
      </c>
      <c r="AE130" s="58">
        <f t="shared" ref="AE130" si="544">AE129/AE79</f>
        <v>0.40693196405648269</v>
      </c>
      <c r="AF130" s="58">
        <f t="shared" ref="AF130" si="545">AF129/AF79</f>
        <v>0.37810440952863661</v>
      </c>
      <c r="AG130" s="58">
        <f t="shared" ref="AG130" si="546">AG129/AG79</f>
        <v>0.27815866797257588</v>
      </c>
      <c r="AH130" s="58">
        <f t="shared" ref="AH130" si="547">AH129/AH79</f>
        <v>5.506736965436438E-2</v>
      </c>
      <c r="AI130" s="57">
        <f t="shared" ref="AI130" si="548">AI129/AI79</f>
        <v>0.2804945054945055</v>
      </c>
      <c r="AJ130" s="58">
        <f t="shared" ref="AJ130:AM130" si="549">AJ129/AJ79</f>
        <v>6.7052023121387277E-2</v>
      </c>
      <c r="AK130" s="58">
        <f t="shared" si="549"/>
        <v>0.15682382133995038</v>
      </c>
      <c r="AL130" s="58">
        <f t="shared" si="549"/>
        <v>0.11233885819521179</v>
      </c>
      <c r="AM130" s="58">
        <f t="shared" si="549"/>
        <v>-0.21772853185595567</v>
      </c>
      <c r="AN130" s="57">
        <f t="shared" ref="AN130" si="550">AN129/AN79</f>
        <v>3.664853664853665E-2</v>
      </c>
      <c r="AO130" s="58">
        <f t="shared" ref="AO130:AT130" si="551">AO129/AO79</f>
        <v>-0.31857389304197814</v>
      </c>
      <c r="AP130" s="58">
        <f t="shared" si="551"/>
        <v>-0.24066390041493776</v>
      </c>
      <c r="AQ130" s="58">
        <f t="shared" si="551"/>
        <v>-0.11008729388942774</v>
      </c>
      <c r="AR130" s="58">
        <f t="shared" si="551"/>
        <v>-0.21030557219892151</v>
      </c>
      <c r="AS130" s="57">
        <f t="shared" si="551"/>
        <v>-0.21573398215733983</v>
      </c>
      <c r="AT130" s="58">
        <f t="shared" si="551"/>
        <v>-0.19798657718120805</v>
      </c>
      <c r="AU130" s="58">
        <f t="shared" ref="AU130:AW130" si="552">AU129/AU79</f>
        <v>-1.7261219792865361E-3</v>
      </c>
      <c r="AV130" s="58">
        <f t="shared" si="552"/>
        <v>6.0732984293193716E-2</v>
      </c>
      <c r="AW130" s="58">
        <f t="shared" si="552"/>
        <v>-0.12584824182603332</v>
      </c>
      <c r="AX130" s="57">
        <f t="shared" ref="AX130:BB130" si="553">AX129/AX79</f>
        <v>-5.7109039798786801E-2</v>
      </c>
      <c r="AY130" s="58">
        <f t="shared" si="553"/>
        <v>-7.3404290711310188E-2</v>
      </c>
      <c r="AZ130" s="58">
        <f t="shared" si="553"/>
        <v>5.3083279223165809E-2</v>
      </c>
      <c r="BA130" s="58">
        <f t="shared" si="553"/>
        <v>0.11031372482464499</v>
      </c>
      <c r="BB130" s="58">
        <f t="shared" si="553"/>
        <v>-2.6845910469166265E-2</v>
      </c>
      <c r="BC130" s="57">
        <f t="shared" ref="BC130:BG130" si="554">BC129/BC79</f>
        <v>2.2243153199351908E-2</v>
      </c>
      <c r="BD130" s="58">
        <f t="shared" si="554"/>
        <v>-6.465248065449121E-2</v>
      </c>
      <c r="BE130" s="58">
        <f t="shared" si="554"/>
        <v>6.0616216908783126E-2</v>
      </c>
      <c r="BF130" s="58">
        <f t="shared" si="554"/>
        <v>0.11712492136688216</v>
      </c>
      <c r="BG130" s="58">
        <f t="shared" si="554"/>
        <v>-1.9273576881505865E-2</v>
      </c>
      <c r="BH130" s="57">
        <f t="shared" ref="BH130" si="555">BH129/BH79</f>
        <v>2.9848791229769713E-2</v>
      </c>
      <c r="BI130" s="57">
        <f t="shared" ref="BI130:BL130" si="556">BI129/BI79</f>
        <v>4.8409988817532196E-2</v>
      </c>
      <c r="BJ130" s="57">
        <f t="shared" si="556"/>
        <v>6.5409601179355875E-2</v>
      </c>
      <c r="BK130" s="57">
        <f t="shared" si="556"/>
        <v>8.2480680505262777E-2</v>
      </c>
      <c r="BL130" s="57">
        <f t="shared" si="556"/>
        <v>9.9042259453354417E-2</v>
      </c>
    </row>
    <row r="131" spans="2:64" s="41" customFormat="1" ht="12.75" customHeight="1">
      <c r="C131" s="123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57"/>
      <c r="U131" s="229"/>
      <c r="V131" s="58"/>
      <c r="W131" s="58"/>
      <c r="X131" s="58"/>
      <c r="Y131" s="57"/>
      <c r="Z131" s="229"/>
      <c r="AA131" s="58"/>
      <c r="AB131" s="58"/>
      <c r="AC131" s="58"/>
      <c r="AD131" s="57"/>
      <c r="AE131" s="229"/>
      <c r="AF131" s="58"/>
      <c r="AG131" s="58"/>
      <c r="AH131" s="58"/>
      <c r="AI131" s="57"/>
      <c r="AJ131" s="229"/>
      <c r="AK131" s="58"/>
      <c r="AL131" s="58"/>
      <c r="AM131" s="58"/>
      <c r="AN131" s="57"/>
      <c r="AO131" s="229"/>
      <c r="AP131" s="58"/>
      <c r="AQ131" s="58"/>
      <c r="AR131" s="58"/>
      <c r="AS131" s="57"/>
      <c r="AT131" s="229"/>
      <c r="AU131" s="58"/>
      <c r="AV131" s="58"/>
      <c r="AW131" s="58"/>
      <c r="AX131" s="57"/>
      <c r="AY131" s="229"/>
      <c r="AZ131" s="58"/>
      <c r="BA131" s="58"/>
      <c r="BB131" s="58"/>
      <c r="BC131" s="57"/>
      <c r="BD131" s="58"/>
      <c r="BE131" s="58"/>
      <c r="BF131" s="58"/>
      <c r="BG131" s="58"/>
      <c r="BH131" s="57"/>
      <c r="BI131" s="57"/>
      <c r="BJ131" s="57"/>
      <c r="BK131" s="57"/>
      <c r="BL131" s="57"/>
    </row>
    <row r="132" spans="2:64" s="41" customFormat="1" ht="12.75" customHeight="1">
      <c r="B132" s="203" t="s">
        <v>254</v>
      </c>
      <c r="C132" s="204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58"/>
      <c r="V132" s="58"/>
      <c r="W132" s="58"/>
      <c r="X132" s="58"/>
      <c r="Y132" s="57"/>
      <c r="Z132" s="58"/>
      <c r="AA132" s="58"/>
      <c r="AB132" s="58"/>
      <c r="AC132" s="58"/>
      <c r="AD132" s="57"/>
      <c r="AE132" s="58"/>
      <c r="AF132" s="58"/>
      <c r="AG132" s="58"/>
      <c r="AH132" s="58"/>
      <c r="AI132" s="212"/>
      <c r="AJ132" s="58"/>
      <c r="AK132" s="58"/>
      <c r="AL132" s="58"/>
      <c r="AM132" s="58"/>
      <c r="AN132" s="214"/>
      <c r="AO132" s="58"/>
      <c r="AP132" s="58"/>
      <c r="AQ132" s="58"/>
      <c r="AR132" s="58"/>
      <c r="AS132" s="214"/>
      <c r="AT132" s="58"/>
      <c r="AU132" s="58"/>
      <c r="AV132" s="58"/>
      <c r="AW132" s="58"/>
      <c r="AX132" s="214"/>
      <c r="AY132" s="58"/>
      <c r="AZ132" s="58"/>
      <c r="BA132" s="58"/>
      <c r="BB132" s="58"/>
      <c r="BC132" s="57"/>
      <c r="BD132" s="58"/>
      <c r="BE132" s="58"/>
      <c r="BF132" s="58"/>
      <c r="BG132" s="58"/>
      <c r="BH132" s="57"/>
      <c r="BI132" s="57"/>
      <c r="BJ132" s="57"/>
      <c r="BK132" s="57"/>
      <c r="BL132" s="57"/>
    </row>
    <row r="133" spans="2:64" s="41" customFormat="1" ht="12.75" customHeight="1">
      <c r="C133" s="123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8"/>
      <c r="V133" s="58"/>
      <c r="W133" s="58"/>
      <c r="X133" s="58"/>
      <c r="Y133" s="57"/>
      <c r="Z133" s="58"/>
      <c r="AA133" s="58"/>
      <c r="AB133" s="58"/>
      <c r="AC133" s="58"/>
      <c r="AD133" s="57"/>
      <c r="AE133" s="58"/>
      <c r="AF133" s="58"/>
      <c r="AG133" s="58"/>
      <c r="AH133" s="58"/>
      <c r="AI133" s="57"/>
      <c r="AJ133" s="58"/>
      <c r="AK133" s="58"/>
      <c r="AL133" s="58"/>
      <c r="AM133" s="58"/>
      <c r="AN133" s="57"/>
      <c r="AO133" s="58"/>
      <c r="AP133" s="58"/>
      <c r="AQ133" s="58"/>
      <c r="AR133" s="58"/>
      <c r="AS133" s="57"/>
      <c r="AT133" s="58"/>
      <c r="AU133" s="58"/>
      <c r="AV133" s="58"/>
      <c r="AW133" s="58"/>
      <c r="AX133" s="57"/>
      <c r="AY133" s="58"/>
      <c r="AZ133" s="58"/>
      <c r="BA133" s="58"/>
      <c r="BB133" s="58"/>
      <c r="BC133" s="57"/>
      <c r="BD133" s="58"/>
      <c r="BE133" s="58"/>
      <c r="BF133" s="58"/>
      <c r="BG133" s="58"/>
      <c r="BH133" s="57"/>
      <c r="BI133" s="57"/>
      <c r="BJ133" s="57"/>
      <c r="BK133" s="57"/>
      <c r="BL133" s="57"/>
    </row>
    <row r="134" spans="2:64" s="84" customFormat="1" ht="12.75" customHeight="1">
      <c r="C134" s="84" t="s">
        <v>50</v>
      </c>
      <c r="E134" s="48">
        <v>2169</v>
      </c>
      <c r="F134" s="48">
        <v>2169</v>
      </c>
      <c r="G134" s="48">
        <v>2169</v>
      </c>
      <c r="H134" s="48">
        <v>2169</v>
      </c>
      <c r="I134" s="48">
        <v>2169</v>
      </c>
      <c r="J134" s="48">
        <v>2169</v>
      </c>
      <c r="K134" s="48">
        <v>2169</v>
      </c>
      <c r="L134" s="48">
        <v>2169</v>
      </c>
      <c r="M134" s="48">
        <v>2169</v>
      </c>
      <c r="N134" s="48">
        <v>2169</v>
      </c>
      <c r="O134" s="48">
        <v>2169</v>
      </c>
      <c r="P134" s="48">
        <v>2169</v>
      </c>
      <c r="Q134" s="48">
        <v>2169</v>
      </c>
      <c r="R134" s="48">
        <v>2169</v>
      </c>
      <c r="S134" s="48">
        <v>2276</v>
      </c>
      <c r="T134" s="48">
        <v>2169</v>
      </c>
      <c r="U134" s="39">
        <v>368</v>
      </c>
      <c r="V134" s="39">
        <v>135</v>
      </c>
      <c r="W134" s="39">
        <v>253</v>
      </c>
      <c r="X134" s="39">
        <v>217</v>
      </c>
      <c r="Y134" s="50">
        <f>SUM(U134:X134)</f>
        <v>973</v>
      </c>
      <c r="Z134" s="39">
        <v>186</v>
      </c>
      <c r="AA134" s="39">
        <v>230</v>
      </c>
      <c r="AB134" s="39">
        <v>312</v>
      </c>
      <c r="AC134" s="39">
        <v>258</v>
      </c>
      <c r="AD134" s="50">
        <f>SUM(Z134:AC134)</f>
        <v>986</v>
      </c>
      <c r="AE134" s="39">
        <v>252</v>
      </c>
      <c r="AF134" s="39">
        <v>371</v>
      </c>
      <c r="AG134" s="39">
        <v>454</v>
      </c>
      <c r="AH134" s="39">
        <v>328</v>
      </c>
      <c r="AI134" s="50">
        <f>SUM(AE134:AH134)</f>
        <v>1405</v>
      </c>
      <c r="AJ134" s="39">
        <v>317</v>
      </c>
      <c r="AK134" s="39">
        <v>422</v>
      </c>
      <c r="AL134" s="39">
        <v>531</v>
      </c>
      <c r="AM134" s="39">
        <v>379</v>
      </c>
      <c r="AN134" s="50">
        <f>SUM(AJ134:AM134)</f>
        <v>1649</v>
      </c>
      <c r="AO134" s="39">
        <v>341</v>
      </c>
      <c r="AP134" s="39">
        <v>425</v>
      </c>
      <c r="AQ134" s="39">
        <v>514</v>
      </c>
      <c r="AR134" s="39">
        <v>371</v>
      </c>
      <c r="AS134" s="50">
        <f>SUM(AO134:AR134)</f>
        <v>1651</v>
      </c>
      <c r="AT134" s="39">
        <v>323</v>
      </c>
      <c r="AU134" s="39">
        <v>447</v>
      </c>
      <c r="AV134" s="39">
        <v>568</v>
      </c>
      <c r="AW134" s="39">
        <v>407</v>
      </c>
      <c r="AX134" s="50">
        <f>SUM(AT134:AW134)</f>
        <v>1745</v>
      </c>
      <c r="AY134" s="38">
        <f>AY141*AY145/1000</f>
        <v>330.76022054375011</v>
      </c>
      <c r="AZ134" s="38">
        <f t="shared" ref="AZ134:BB134" si="557">AZ141*AZ145/1000</f>
        <v>432.71077122167816</v>
      </c>
      <c r="BA134" s="38">
        <f t="shared" si="557"/>
        <v>540.15072893005686</v>
      </c>
      <c r="BB134" s="38">
        <f t="shared" si="557"/>
        <v>390.39723663296024</v>
      </c>
      <c r="BC134" s="50">
        <f>SUM(AY134:BB134)</f>
        <v>1694.0189573284456</v>
      </c>
      <c r="BD134" s="38">
        <f>BD141*BD145/1000</f>
        <v>337.37542495462503</v>
      </c>
      <c r="BE134" s="38">
        <f t="shared" ref="BE134:BG134" si="558">BE141*BE145/1000</f>
        <v>441.36498664611179</v>
      </c>
      <c r="BF134" s="38">
        <f t="shared" si="558"/>
        <v>550.95374350865802</v>
      </c>
      <c r="BG134" s="38">
        <f t="shared" si="558"/>
        <v>398.20518136561952</v>
      </c>
      <c r="BH134" s="50">
        <f>SUM(BD134:BG134)</f>
        <v>1727.8993364750145</v>
      </c>
      <c r="BI134" s="50">
        <f t="shared" ref="BI134:BL134" si="559">BI141*BI145/1000</f>
        <v>1766.0704911472731</v>
      </c>
      <c r="BJ134" s="50">
        <f t="shared" si="559"/>
        <v>1796.470065175218</v>
      </c>
      <c r="BK134" s="50">
        <f t="shared" si="559"/>
        <v>1832.3994664787224</v>
      </c>
      <c r="BL134" s="50">
        <f t="shared" si="559"/>
        <v>1869.0474558082965</v>
      </c>
    </row>
    <row r="135" spans="2:64" s="156" customFormat="1" ht="12.75" customHeight="1">
      <c r="C135" s="156" t="s">
        <v>12</v>
      </c>
      <c r="E135" s="206" t="e">
        <f t="shared" ref="E135:Q135" si="560">E134/D134-1</f>
        <v>#DIV/0!</v>
      </c>
      <c r="F135" s="206">
        <f t="shared" si="560"/>
        <v>0</v>
      </c>
      <c r="G135" s="206">
        <f t="shared" si="560"/>
        <v>0</v>
      </c>
      <c r="H135" s="206">
        <f t="shared" si="560"/>
        <v>0</v>
      </c>
      <c r="I135" s="206">
        <f t="shared" si="560"/>
        <v>0</v>
      </c>
      <c r="J135" s="206">
        <f t="shared" si="560"/>
        <v>0</v>
      </c>
      <c r="K135" s="206">
        <f t="shared" si="560"/>
        <v>0</v>
      </c>
      <c r="L135" s="206">
        <f t="shared" si="560"/>
        <v>0</v>
      </c>
      <c r="M135" s="206">
        <f t="shared" si="560"/>
        <v>0</v>
      </c>
      <c r="N135" s="206">
        <f t="shared" si="560"/>
        <v>0</v>
      </c>
      <c r="O135" s="206">
        <f t="shared" si="560"/>
        <v>0</v>
      </c>
      <c r="P135" s="206">
        <f t="shared" si="560"/>
        <v>0</v>
      </c>
      <c r="Q135" s="206">
        <f t="shared" si="560"/>
        <v>0</v>
      </c>
      <c r="R135" s="206">
        <f>R134/Q134-1</f>
        <v>0</v>
      </c>
      <c r="S135" s="206">
        <f t="shared" ref="S135:T135" si="561">S134/R134-1</f>
        <v>4.9331489165514109E-2</v>
      </c>
      <c r="T135" s="206">
        <f t="shared" si="561"/>
        <v>-4.7012302284709984E-2</v>
      </c>
      <c r="U135" s="119"/>
      <c r="V135" s="119"/>
      <c r="W135" s="119"/>
      <c r="X135" s="119"/>
      <c r="Y135" s="206"/>
      <c r="Z135" s="119"/>
      <c r="AA135" s="119"/>
      <c r="AB135" s="119"/>
      <c r="AC135" s="119"/>
      <c r="AD135" s="206"/>
      <c r="AE135" s="119">
        <f>AE134/Z134-1</f>
        <v>0.35483870967741926</v>
      </c>
      <c r="AF135" s="119">
        <f>AF134/AA134-1</f>
        <v>0.61304347826086958</v>
      </c>
      <c r="AG135" s="119">
        <f>AG134/AB134-1</f>
        <v>0.45512820512820507</v>
      </c>
      <c r="AH135" s="119">
        <f>AH134/AC134-1</f>
        <v>0.27131782945736438</v>
      </c>
      <c r="AI135" s="206">
        <f t="shared" ref="AI135" si="562">AI134/AD134-1</f>
        <v>0.42494929006085203</v>
      </c>
      <c r="AJ135" s="119">
        <f>AJ134/AE134-1</f>
        <v>0.25793650793650791</v>
      </c>
      <c r="AK135" s="119">
        <f t="shared" ref="AK135" si="563">AK134/AF134-1</f>
        <v>0.1374663072776281</v>
      </c>
      <c r="AL135" s="119">
        <f t="shared" ref="AL135" si="564">AL134/AG134-1</f>
        <v>0.16960352422907499</v>
      </c>
      <c r="AM135" s="119">
        <f t="shared" ref="AM135" si="565">AM134/AH134-1</f>
        <v>0.15548780487804881</v>
      </c>
      <c r="AN135" s="206">
        <f t="shared" ref="AN135" si="566">AN134/AI134-1</f>
        <v>0.17366548042704633</v>
      </c>
      <c r="AO135" s="119">
        <f>AO134/AJ134-1</f>
        <v>7.5709779179810699E-2</v>
      </c>
      <c r="AP135" s="119">
        <f>AP134/AK134-1</f>
        <v>7.1090047393365108E-3</v>
      </c>
      <c r="AQ135" s="119">
        <f>AQ134/AL134-1</f>
        <v>-3.2015065913370999E-2</v>
      </c>
      <c r="AR135" s="119">
        <f>AR134/AM134-1</f>
        <v>-2.1108179419525031E-2</v>
      </c>
      <c r="AS135" s="206">
        <f t="shared" ref="AS135:AX135" si="567">AS134/AN134-1</f>
        <v>1.2128562765312267E-3</v>
      </c>
      <c r="AT135" s="119">
        <f>AT134/AO134-1</f>
        <v>-5.2785923753665642E-2</v>
      </c>
      <c r="AU135" s="119">
        <f t="shared" si="567"/>
        <v>5.1764705882352935E-2</v>
      </c>
      <c r="AV135" s="119">
        <f t="shared" si="567"/>
        <v>0.10505836575875493</v>
      </c>
      <c r="AW135" s="119">
        <f t="shared" si="567"/>
        <v>9.7035040431266761E-2</v>
      </c>
      <c r="AX135" s="206">
        <f t="shared" si="567"/>
        <v>5.6935190793458545E-2</v>
      </c>
      <c r="AY135" s="119">
        <f>AY134/AT134-1</f>
        <v>2.4025450599845621E-2</v>
      </c>
      <c r="AZ135" s="119">
        <f t="shared" ref="AZ135" si="568">AZ134/AU134-1</f>
        <v>-3.1966954761346367E-2</v>
      </c>
      <c r="BA135" s="119">
        <f t="shared" ref="BA135" si="569">BA134/AV134-1</f>
        <v>-4.9030406813280192E-2</v>
      </c>
      <c r="BB135" s="119">
        <f t="shared" ref="BB135" si="570">BB134/AW134-1</f>
        <v>-4.0793030385847029E-2</v>
      </c>
      <c r="BC135" s="206">
        <f t="shared" ref="BC135" si="571">BC134/AX134-1</f>
        <v>-2.9215497232982446E-2</v>
      </c>
      <c r="BD135" s="119">
        <f>BD134/AY134-1</f>
        <v>1.9999999999999796E-2</v>
      </c>
      <c r="BE135" s="119">
        <f t="shared" ref="BE135" si="572">BE134/AZ134-1</f>
        <v>2.000000000000024E-2</v>
      </c>
      <c r="BF135" s="119">
        <f t="shared" ref="BF135" si="573">BF134/BA134-1</f>
        <v>2.0000000000000018E-2</v>
      </c>
      <c r="BG135" s="119">
        <f t="shared" ref="BG135" si="574">BG134/BB134-1</f>
        <v>2.000000000000024E-2</v>
      </c>
      <c r="BH135" s="206">
        <f t="shared" ref="BH135" si="575">BH134/BC134-1</f>
        <v>2.0000000000000018E-2</v>
      </c>
      <c r="BI135" s="205">
        <f>BI134/BH134-1</f>
        <v>2.2091075484830691E-2</v>
      </c>
      <c r="BJ135" s="205">
        <f t="shared" ref="BJ135" si="576">BJ134/BI134-1</f>
        <v>1.7213114754098369E-2</v>
      </c>
      <c r="BK135" s="205">
        <f t="shared" ref="BK135" si="577">BK134/BJ134-1</f>
        <v>2.0000000000000018E-2</v>
      </c>
      <c r="BL135" s="205">
        <f t="shared" ref="BL135" si="578">BL134/BK134-1</f>
        <v>1.9999999999999796E-2</v>
      </c>
    </row>
    <row r="136" spans="2:64" s="41" customFormat="1" ht="12.75" customHeight="1"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14"/>
      <c r="V136" s="14"/>
      <c r="W136" s="14"/>
      <c r="X136" s="14"/>
      <c r="Y136" s="56"/>
      <c r="Z136" s="14"/>
      <c r="AA136" s="14"/>
      <c r="AB136" s="14"/>
      <c r="AC136" s="14"/>
      <c r="AD136" s="56"/>
      <c r="AE136" s="14"/>
      <c r="AF136" s="14"/>
      <c r="AG136" s="14"/>
      <c r="AH136" s="14"/>
      <c r="AI136" s="56"/>
      <c r="AJ136" s="14"/>
      <c r="AK136" s="14"/>
      <c r="AL136" s="14"/>
      <c r="AM136" s="14"/>
      <c r="AN136" s="56"/>
      <c r="AO136" s="14"/>
      <c r="AP136" s="14"/>
      <c r="AQ136" s="14"/>
      <c r="AR136" s="14"/>
      <c r="AS136" s="56"/>
      <c r="AT136" s="14"/>
      <c r="AU136" s="14"/>
      <c r="AV136" s="14"/>
      <c r="AW136" s="14"/>
      <c r="AX136" s="56"/>
      <c r="AY136" s="58"/>
      <c r="AZ136" s="58"/>
      <c r="BA136" s="58"/>
      <c r="BB136" s="58"/>
      <c r="BC136" s="57"/>
      <c r="BD136" s="58"/>
      <c r="BE136" s="58"/>
      <c r="BF136" s="58"/>
      <c r="BG136" s="58"/>
      <c r="BH136" s="57"/>
      <c r="BI136" s="57"/>
      <c r="BJ136" s="57"/>
      <c r="BK136" s="57"/>
      <c r="BL136" s="57"/>
    </row>
    <row r="137" spans="2:64" s="41" customFormat="1" ht="12.75" customHeight="1">
      <c r="C137" s="84" t="s">
        <v>277</v>
      </c>
      <c r="E137" s="48">
        <v>0</v>
      </c>
      <c r="F137" s="48">
        <v>0</v>
      </c>
      <c r="G137" s="48">
        <v>0</v>
      </c>
      <c r="H137" s="48">
        <v>0</v>
      </c>
      <c r="I137" s="48">
        <v>0</v>
      </c>
      <c r="J137" s="48">
        <v>0</v>
      </c>
      <c r="K137" s="48">
        <v>0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39">
        <v>0</v>
      </c>
      <c r="V137" s="39">
        <v>0</v>
      </c>
      <c r="W137" s="39">
        <v>0</v>
      </c>
      <c r="X137" s="39">
        <v>0</v>
      </c>
      <c r="Y137" s="50">
        <f t="shared" ref="Y137:Y138" si="579">SUM(U137:X137)</f>
        <v>0</v>
      </c>
      <c r="Z137" s="39">
        <v>0</v>
      </c>
      <c r="AA137" s="39">
        <v>0</v>
      </c>
      <c r="AB137" s="39">
        <v>0</v>
      </c>
      <c r="AC137" s="39">
        <v>0</v>
      </c>
      <c r="AD137" s="50">
        <f t="shared" ref="AD137:AD138" si="580">SUM(Z137:AC137)</f>
        <v>0</v>
      </c>
      <c r="AE137" s="39">
        <v>-15</v>
      </c>
      <c r="AF137" s="39">
        <v>-8</v>
      </c>
      <c r="AG137" s="39">
        <v>15</v>
      </c>
      <c r="AH137" s="39">
        <v>13</v>
      </c>
      <c r="AI137" s="50">
        <f t="shared" ref="AI137:AI138" si="581">SUM(AE137:AH137)</f>
        <v>5</v>
      </c>
      <c r="AJ137" s="39">
        <v>-3</v>
      </c>
      <c r="AK137" s="39">
        <v>-8</v>
      </c>
      <c r="AL137" s="39">
        <v>-10</v>
      </c>
      <c r="AM137" s="39">
        <v>0</v>
      </c>
      <c r="AN137" s="50">
        <f t="shared" ref="AN137:AN138" si="582">SUM(AJ137:AM137)</f>
        <v>-21</v>
      </c>
      <c r="AO137" s="39">
        <v>-14</v>
      </c>
      <c r="AP137" s="39">
        <v>-14</v>
      </c>
      <c r="AQ137" s="39">
        <v>-25</v>
      </c>
      <c r="AR137" s="39">
        <v>-12</v>
      </c>
      <c r="AS137" s="50">
        <f t="shared" ref="AS137:AS141" si="583">SUM(AO137:AR137)</f>
        <v>-65</v>
      </c>
      <c r="AT137" s="39">
        <v>-3</v>
      </c>
      <c r="AU137" s="39">
        <v>-28</v>
      </c>
      <c r="AV137" s="39">
        <v>-50</v>
      </c>
      <c r="AW137" s="39">
        <v>-33</v>
      </c>
      <c r="AX137" s="50">
        <f t="shared" ref="AX137:AX141" si="584">SUM(AT137:AW137)</f>
        <v>-114</v>
      </c>
      <c r="AY137" s="67">
        <v>0</v>
      </c>
      <c r="AZ137" s="67">
        <v>0</v>
      </c>
      <c r="BA137" s="67">
        <v>0</v>
      </c>
      <c r="BB137" s="67">
        <v>0</v>
      </c>
      <c r="BC137" s="50">
        <f t="shared" ref="BC137:BC138" si="585">SUM(AY137:BB137)</f>
        <v>0</v>
      </c>
      <c r="BD137" s="67">
        <v>0</v>
      </c>
      <c r="BE137" s="67">
        <v>0</v>
      </c>
      <c r="BF137" s="67">
        <v>0</v>
      </c>
      <c r="BG137" s="67">
        <v>0</v>
      </c>
      <c r="BH137" s="50">
        <f t="shared" ref="BH137:BH138" si="586">SUM(BD137:BG137)</f>
        <v>0</v>
      </c>
      <c r="BI137" s="68">
        <v>0</v>
      </c>
      <c r="BJ137" s="68">
        <v>0</v>
      </c>
      <c r="BK137" s="68">
        <v>0</v>
      </c>
      <c r="BL137" s="68">
        <v>0</v>
      </c>
    </row>
    <row r="138" spans="2:64" s="41" customFormat="1" ht="12.75" customHeight="1">
      <c r="C138" s="84" t="s">
        <v>278</v>
      </c>
      <c r="E138" s="48">
        <v>0</v>
      </c>
      <c r="F138" s="48">
        <v>0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39">
        <v>0</v>
      </c>
      <c r="V138" s="39">
        <v>0</v>
      </c>
      <c r="W138" s="39">
        <v>0</v>
      </c>
      <c r="X138" s="39">
        <v>0</v>
      </c>
      <c r="Y138" s="50">
        <f t="shared" si="579"/>
        <v>0</v>
      </c>
      <c r="Z138" s="39">
        <v>0</v>
      </c>
      <c r="AA138" s="39">
        <v>0</v>
      </c>
      <c r="AB138" s="39">
        <v>0</v>
      </c>
      <c r="AC138" s="39">
        <v>0</v>
      </c>
      <c r="AD138" s="50">
        <f t="shared" si="580"/>
        <v>0</v>
      </c>
      <c r="AE138" s="39">
        <v>-2</v>
      </c>
      <c r="AF138" s="39">
        <v>-1</v>
      </c>
      <c r="AG138" s="39">
        <v>2</v>
      </c>
      <c r="AH138" s="39">
        <v>1</v>
      </c>
      <c r="AI138" s="50">
        <f t="shared" si="581"/>
        <v>0</v>
      </c>
      <c r="AJ138" s="39">
        <v>-1</v>
      </c>
      <c r="AK138" s="39">
        <v>-1</v>
      </c>
      <c r="AL138" s="39">
        <v>-3</v>
      </c>
      <c r="AM138" s="39">
        <v>-1</v>
      </c>
      <c r="AN138" s="50">
        <f t="shared" si="582"/>
        <v>-6</v>
      </c>
      <c r="AO138" s="39">
        <v>-4</v>
      </c>
      <c r="AP138" s="39">
        <v>-4</v>
      </c>
      <c r="AQ138" s="39">
        <v>-5</v>
      </c>
      <c r="AR138" s="39">
        <v>-3</v>
      </c>
      <c r="AS138" s="50">
        <f t="shared" si="583"/>
        <v>-16</v>
      </c>
      <c r="AT138" s="39">
        <v>0</v>
      </c>
      <c r="AU138" s="39">
        <v>-6</v>
      </c>
      <c r="AV138" s="39">
        <v>-10</v>
      </c>
      <c r="AW138" s="39">
        <v>-8</v>
      </c>
      <c r="AX138" s="50">
        <f t="shared" si="584"/>
        <v>-24</v>
      </c>
      <c r="AY138" s="67">
        <v>0</v>
      </c>
      <c r="AZ138" s="67">
        <v>0</v>
      </c>
      <c r="BA138" s="67">
        <v>0</v>
      </c>
      <c r="BB138" s="67">
        <v>0</v>
      </c>
      <c r="BC138" s="50">
        <f t="shared" si="585"/>
        <v>0</v>
      </c>
      <c r="BD138" s="67">
        <v>0</v>
      </c>
      <c r="BE138" s="67">
        <v>0</v>
      </c>
      <c r="BF138" s="67">
        <v>0</v>
      </c>
      <c r="BG138" s="67">
        <v>0</v>
      </c>
      <c r="BH138" s="50">
        <f t="shared" si="586"/>
        <v>0</v>
      </c>
      <c r="BI138" s="68">
        <v>0</v>
      </c>
      <c r="BJ138" s="68">
        <v>0</v>
      </c>
      <c r="BK138" s="68">
        <v>0</v>
      </c>
      <c r="BL138" s="68">
        <v>0</v>
      </c>
    </row>
    <row r="139" spans="2:64" s="41" customFormat="1" ht="12.75" customHeight="1">
      <c r="C139" s="84" t="s">
        <v>275</v>
      </c>
      <c r="E139" s="48">
        <v>365</v>
      </c>
      <c r="F139" s="48">
        <v>365</v>
      </c>
      <c r="G139" s="48">
        <v>365</v>
      </c>
      <c r="H139" s="48">
        <v>365</v>
      </c>
      <c r="I139" s="48">
        <v>365</v>
      </c>
      <c r="J139" s="48">
        <v>365</v>
      </c>
      <c r="K139" s="48">
        <v>365</v>
      </c>
      <c r="L139" s="48">
        <v>365</v>
      </c>
      <c r="M139" s="48">
        <v>365</v>
      </c>
      <c r="N139" s="48">
        <v>365</v>
      </c>
      <c r="O139" s="48">
        <v>365</v>
      </c>
      <c r="P139" s="48">
        <v>365</v>
      </c>
      <c r="Q139" s="48">
        <v>365</v>
      </c>
      <c r="R139" s="48">
        <v>365</v>
      </c>
      <c r="S139" s="48">
        <v>365</v>
      </c>
      <c r="T139" s="48">
        <v>365</v>
      </c>
      <c r="U139" s="39">
        <v>91</v>
      </c>
      <c r="V139" s="39">
        <v>91</v>
      </c>
      <c r="W139" s="39">
        <v>92</v>
      </c>
      <c r="X139" s="39">
        <v>92</v>
      </c>
      <c r="Y139" s="50">
        <f>SUM(U139:X139)</f>
        <v>366</v>
      </c>
      <c r="Z139" s="39">
        <v>90</v>
      </c>
      <c r="AA139" s="39">
        <v>91</v>
      </c>
      <c r="AB139" s="39">
        <v>92</v>
      </c>
      <c r="AC139" s="39">
        <v>92</v>
      </c>
      <c r="AD139" s="50">
        <f>SUM(Z139:AC139)</f>
        <v>365</v>
      </c>
      <c r="AE139" s="39">
        <v>90</v>
      </c>
      <c r="AF139" s="39">
        <v>91</v>
      </c>
      <c r="AG139" s="39">
        <v>92</v>
      </c>
      <c r="AH139" s="39">
        <v>92</v>
      </c>
      <c r="AI139" s="50">
        <f>SUM(AE139:AH139)</f>
        <v>365</v>
      </c>
      <c r="AJ139" s="39">
        <v>90</v>
      </c>
      <c r="AK139" s="39">
        <v>91</v>
      </c>
      <c r="AL139" s="39">
        <v>92</v>
      </c>
      <c r="AM139" s="39">
        <v>92</v>
      </c>
      <c r="AN139" s="50">
        <f>SUM(AJ139:AM139)</f>
        <v>365</v>
      </c>
      <c r="AO139" s="39">
        <v>91</v>
      </c>
      <c r="AP139" s="39">
        <v>91</v>
      </c>
      <c r="AQ139" s="39">
        <v>92</v>
      </c>
      <c r="AR139" s="39">
        <v>92</v>
      </c>
      <c r="AS139" s="50">
        <f>SUM(AO139:AR139)</f>
        <v>366</v>
      </c>
      <c r="AT139" s="39">
        <v>90</v>
      </c>
      <c r="AU139" s="39">
        <v>91</v>
      </c>
      <c r="AV139" s="39">
        <v>92</v>
      </c>
      <c r="AW139" s="39">
        <v>92</v>
      </c>
      <c r="AX139" s="50">
        <f>SUM(AT139:AW139)</f>
        <v>365</v>
      </c>
      <c r="AY139" s="67">
        <v>90</v>
      </c>
      <c r="AZ139" s="67">
        <v>91</v>
      </c>
      <c r="BA139" s="67">
        <v>92</v>
      </c>
      <c r="BB139" s="67">
        <v>92</v>
      </c>
      <c r="BC139" s="50">
        <f>SUM(AY139:BB139)</f>
        <v>365</v>
      </c>
      <c r="BD139" s="67">
        <v>90</v>
      </c>
      <c r="BE139" s="67">
        <v>91</v>
      </c>
      <c r="BF139" s="67">
        <v>92</v>
      </c>
      <c r="BG139" s="67">
        <v>92</v>
      </c>
      <c r="BH139" s="50">
        <f>SUM(BD139:BG139)</f>
        <v>365</v>
      </c>
      <c r="BI139" s="68">
        <v>366</v>
      </c>
      <c r="BJ139" s="68">
        <v>365</v>
      </c>
      <c r="BK139" s="68">
        <v>365</v>
      </c>
      <c r="BL139" s="68">
        <v>365</v>
      </c>
    </row>
    <row r="140" spans="2:64" s="41" customFormat="1" ht="12.75" customHeight="1">
      <c r="C140" s="84" t="s">
        <v>276</v>
      </c>
      <c r="E140" s="83">
        <f t="shared" ref="E140:Q140" si="587">E139*E143/1000</f>
        <v>65006.5</v>
      </c>
      <c r="F140" s="83">
        <f t="shared" si="587"/>
        <v>65006.5</v>
      </c>
      <c r="G140" s="83">
        <f t="shared" si="587"/>
        <v>65006.5</v>
      </c>
      <c r="H140" s="83">
        <f t="shared" si="587"/>
        <v>65006.5</v>
      </c>
      <c r="I140" s="83">
        <f t="shared" si="587"/>
        <v>65006.5</v>
      </c>
      <c r="J140" s="83">
        <f t="shared" si="587"/>
        <v>65006.5</v>
      </c>
      <c r="K140" s="83">
        <f t="shared" si="587"/>
        <v>65006.5</v>
      </c>
      <c r="L140" s="83">
        <f t="shared" si="587"/>
        <v>65006.5</v>
      </c>
      <c r="M140" s="83">
        <f t="shared" si="587"/>
        <v>65006.5</v>
      </c>
      <c r="N140" s="83">
        <f t="shared" si="587"/>
        <v>65006.5</v>
      </c>
      <c r="O140" s="83">
        <f t="shared" si="587"/>
        <v>65006.5</v>
      </c>
      <c r="P140" s="83">
        <f t="shared" si="587"/>
        <v>65006.5</v>
      </c>
      <c r="Q140" s="83">
        <f t="shared" si="587"/>
        <v>65006.5</v>
      </c>
      <c r="R140" s="83">
        <f t="shared" ref="R140:X140" si="588">R139*R143/1000</f>
        <v>65006.5</v>
      </c>
      <c r="S140" s="83">
        <f t="shared" si="588"/>
        <v>65846</v>
      </c>
      <c r="T140" s="83">
        <f t="shared" si="588"/>
        <v>65963.895000000004</v>
      </c>
      <c r="U140" s="82">
        <f t="shared" si="588"/>
        <v>13466.816999999999</v>
      </c>
      <c r="V140" s="82">
        <f t="shared" si="588"/>
        <v>11794.965</v>
      </c>
      <c r="W140" s="82">
        <f t="shared" si="588"/>
        <v>9572.14</v>
      </c>
      <c r="X140" s="82">
        <f t="shared" si="588"/>
        <v>7704.4480000000003</v>
      </c>
      <c r="Y140" s="50">
        <f t="shared" ref="Y140:Y141" si="589">SUM(U140:X140)</f>
        <v>42538.369999999995</v>
      </c>
      <c r="Z140" s="82">
        <f>Z139*Z143/1000</f>
        <v>5863.41</v>
      </c>
      <c r="AA140" s="82">
        <f t="shared" ref="AA140:AC140" si="590">AA139*AA143/1000</f>
        <v>6352.4369999999999</v>
      </c>
      <c r="AB140" s="82">
        <f t="shared" si="590"/>
        <v>7750.1719999999996</v>
      </c>
      <c r="AC140" s="82">
        <f t="shared" si="590"/>
        <v>7871.98</v>
      </c>
      <c r="AD140" s="50">
        <f t="shared" ref="AD140:AD141" si="591">SUM(Z140:AC140)</f>
        <v>27837.999</v>
      </c>
      <c r="AE140" s="82">
        <f>AE139*AE143/1000</f>
        <v>7412.76</v>
      </c>
      <c r="AF140" s="82">
        <f>AF139*AF143/1000</f>
        <v>8248.9680000000008</v>
      </c>
      <c r="AG140" s="82">
        <f>AG139*AG143/1000</f>
        <v>9753.84</v>
      </c>
      <c r="AH140" s="82">
        <f>AH139*AH143/1000</f>
        <v>8760.3320000000003</v>
      </c>
      <c r="AI140" s="50">
        <f t="shared" ref="AI140:AI141" si="592">SUM(AE140:AH140)</f>
        <v>34175.9</v>
      </c>
      <c r="AJ140" s="82">
        <f>AJ139*AJ143/1000</f>
        <v>8079.84</v>
      </c>
      <c r="AK140" s="82">
        <f t="shared" ref="AK140:AM140" si="593">AK139*AK143/1000</f>
        <v>9272.1720000000005</v>
      </c>
      <c r="AL140" s="82">
        <f t="shared" si="593"/>
        <v>11032.088</v>
      </c>
      <c r="AM140" s="82">
        <f t="shared" si="593"/>
        <v>9670.3040000000001</v>
      </c>
      <c r="AN140" s="50">
        <f t="shared" ref="AN140:AN141" si="594">SUM(AJ140:AM140)</f>
        <v>38054.404000000002</v>
      </c>
      <c r="AO140" s="82">
        <f>AO139*AO143/1000</f>
        <v>8682.2189999999991</v>
      </c>
      <c r="AP140" s="82">
        <f>AP139*AP143/1000</f>
        <v>9728.1730000000007</v>
      </c>
      <c r="AQ140" s="82">
        <f>AQ139*AQ143/1000</f>
        <v>10806.871999999999</v>
      </c>
      <c r="AR140" s="82">
        <f>AR139*AR143/1000</f>
        <v>9011.2160000000003</v>
      </c>
      <c r="AS140" s="50">
        <f t="shared" si="583"/>
        <v>38228.479999999996</v>
      </c>
      <c r="AT140" s="82">
        <f>AT139*AT143/1000</f>
        <v>8146.44</v>
      </c>
      <c r="AU140" s="82">
        <f t="shared" ref="AU140:AW140" si="595">AU139*AU143/1000</f>
        <v>9602.1380000000008</v>
      </c>
      <c r="AV140" s="82">
        <f t="shared" si="595"/>
        <v>10926.84</v>
      </c>
      <c r="AW140" s="82">
        <f t="shared" si="595"/>
        <v>9201.1959999999999</v>
      </c>
      <c r="AX140" s="50">
        <f t="shared" si="584"/>
        <v>37876.614000000001</v>
      </c>
      <c r="AY140" s="82">
        <f t="shared" ref="AY140:BB140" si="596">AY139*AY143/1000</f>
        <v>8227.9044000000013</v>
      </c>
      <c r="AZ140" s="82">
        <f t="shared" si="596"/>
        <v>9698.159380000001</v>
      </c>
      <c r="BA140" s="82">
        <f t="shared" si="596"/>
        <v>11145.3768</v>
      </c>
      <c r="BB140" s="82">
        <f t="shared" si="596"/>
        <v>9385.2199199999995</v>
      </c>
      <c r="BC140" s="50">
        <f t="shared" ref="BC140:BC141" si="597">SUM(AY140:BB140)</f>
        <v>38456.660499999998</v>
      </c>
      <c r="BD140" s="82">
        <f t="shared" ref="BD140:BG140" si="598">BD139*BD143/1000</f>
        <v>8392.4624879999992</v>
      </c>
      <c r="BE140" s="82">
        <f t="shared" si="598"/>
        <v>9892.1225676000013</v>
      </c>
      <c r="BF140" s="82">
        <f t="shared" si="598"/>
        <v>11368.284336000001</v>
      </c>
      <c r="BG140" s="82">
        <f t="shared" si="598"/>
        <v>9572.9243184000006</v>
      </c>
      <c r="BH140" s="50">
        <f t="shared" ref="BH140:BH141" si="599">SUM(BD140:BG140)</f>
        <v>39225.793709999998</v>
      </c>
      <c r="BI140" s="50">
        <f t="shared" ref="BI140:BL140" si="600">BI139*BI143/1000</f>
        <v>40092.333679800002</v>
      </c>
      <c r="BJ140" s="50">
        <f t="shared" si="600"/>
        <v>40782.447620190011</v>
      </c>
      <c r="BK140" s="50">
        <f t="shared" si="600"/>
        <v>41598.096572593808</v>
      </c>
      <c r="BL140" s="50">
        <f t="shared" si="600"/>
        <v>42430.058504045679</v>
      </c>
    </row>
    <row r="141" spans="2:64" s="41" customFormat="1" ht="12.75" customHeight="1">
      <c r="C141" s="84" t="s">
        <v>268</v>
      </c>
      <c r="E141" s="48">
        <v>50301</v>
      </c>
      <c r="F141" s="48">
        <v>50301</v>
      </c>
      <c r="G141" s="48">
        <v>50301</v>
      </c>
      <c r="H141" s="48">
        <v>50301</v>
      </c>
      <c r="I141" s="48">
        <v>50301</v>
      </c>
      <c r="J141" s="48">
        <v>50301</v>
      </c>
      <c r="K141" s="48">
        <v>50301</v>
      </c>
      <c r="L141" s="48">
        <v>50301</v>
      </c>
      <c r="M141" s="48">
        <v>50301</v>
      </c>
      <c r="N141" s="48">
        <v>50301</v>
      </c>
      <c r="O141" s="48">
        <v>50301</v>
      </c>
      <c r="P141" s="48">
        <v>50301</v>
      </c>
      <c r="Q141" s="48">
        <v>50301</v>
      </c>
      <c r="R141" s="48">
        <v>50301</v>
      </c>
      <c r="S141" s="48">
        <v>50417</v>
      </c>
      <c r="T141" s="48">
        <v>50139</v>
      </c>
      <c r="U141" s="39">
        <v>8863</v>
      </c>
      <c r="V141" s="39">
        <v>4256</v>
      </c>
      <c r="W141" s="39">
        <v>6194</v>
      </c>
      <c r="X141" s="39">
        <v>5308</v>
      </c>
      <c r="Y141" s="50">
        <f t="shared" si="589"/>
        <v>24621</v>
      </c>
      <c r="Z141" s="39">
        <v>4397</v>
      </c>
      <c r="AA141" s="39">
        <v>4893</v>
      </c>
      <c r="AB141" s="39">
        <v>5862</v>
      </c>
      <c r="AC141" s="39">
        <v>5335</v>
      </c>
      <c r="AD141" s="50">
        <f t="shared" si="591"/>
        <v>20487</v>
      </c>
      <c r="AE141" s="39">
        <v>5042</v>
      </c>
      <c r="AF141" s="39">
        <v>6284</v>
      </c>
      <c r="AG141" s="39">
        <v>7470</v>
      </c>
      <c r="AH141" s="39">
        <v>6305</v>
      </c>
      <c r="AI141" s="50">
        <f t="shared" si="592"/>
        <v>25101</v>
      </c>
      <c r="AJ141" s="39">
        <v>5908</v>
      </c>
      <c r="AK141" s="39">
        <v>7237</v>
      </c>
      <c r="AL141" s="39">
        <v>8817</v>
      </c>
      <c r="AM141" s="39">
        <v>7013</v>
      </c>
      <c r="AN141" s="50">
        <f t="shared" si="594"/>
        <v>28975</v>
      </c>
      <c r="AO141" s="39">
        <v>6294</v>
      </c>
      <c r="AP141" s="39">
        <v>7505</v>
      </c>
      <c r="AQ141" s="39">
        <v>8605</v>
      </c>
      <c r="AR141" s="39">
        <v>6700</v>
      </c>
      <c r="AS141" s="50">
        <f t="shared" si="583"/>
        <v>29104</v>
      </c>
      <c r="AT141" s="39">
        <v>6144</v>
      </c>
      <c r="AU141" s="39">
        <v>7760</v>
      </c>
      <c r="AV141" s="39">
        <v>8961</v>
      </c>
      <c r="AW141" s="39">
        <v>6948</v>
      </c>
      <c r="AX141" s="50">
        <f t="shared" si="584"/>
        <v>29813</v>
      </c>
      <c r="AY141" s="82">
        <f>AY140*AY144</f>
        <v>6287.7190440000013</v>
      </c>
      <c r="AZ141" s="82">
        <f t="shared" ref="AZ141" si="601">AZ140*AZ144</f>
        <v>7934.5815938000005</v>
      </c>
      <c r="BA141" s="82">
        <f t="shared" ref="BA141" si="602">BA140*BA144</f>
        <v>9251.6737680000006</v>
      </c>
      <c r="BB141" s="82">
        <f t="shared" ref="BB141" si="603">BB140*BB144</f>
        <v>7180.8121991999997</v>
      </c>
      <c r="BC141" s="50">
        <f t="shared" si="597"/>
        <v>30654.786605000001</v>
      </c>
      <c r="BD141" s="82">
        <f>BD140*BD144</f>
        <v>6413.4734248799996</v>
      </c>
      <c r="BE141" s="82">
        <f t="shared" ref="BE141" si="604">BE140*BE144</f>
        <v>8093.2732256760009</v>
      </c>
      <c r="BF141" s="82">
        <f t="shared" ref="BF141" si="605">BF140*BF144</f>
        <v>9436.7072433600006</v>
      </c>
      <c r="BG141" s="82">
        <f t="shared" ref="BG141" si="606">BG140*BG144</f>
        <v>7324.4284431840006</v>
      </c>
      <c r="BH141" s="50">
        <f t="shared" si="599"/>
        <v>31267.882337100003</v>
      </c>
      <c r="BI141" s="50">
        <f t="shared" ref="BI141" si="607">BI140*BI144</f>
        <v>31958.623486059685</v>
      </c>
      <c r="BJ141" s="50">
        <f t="shared" ref="BJ141" si="608">BJ140*BJ144</f>
        <v>32508.730939508259</v>
      </c>
      <c r="BK141" s="50">
        <f t="shared" ref="BK141" si="609">BK140*BK144</f>
        <v>33158.905558298422</v>
      </c>
      <c r="BL141" s="50">
        <f t="shared" ref="BL141" si="610">BL140*BL144</f>
        <v>33822.083669464388</v>
      </c>
    </row>
    <row r="142" spans="2:64" s="41" customFormat="1" ht="12.75" customHeight="1">
      <c r="C142" s="84" t="s">
        <v>269</v>
      </c>
      <c r="E142" s="48">
        <v>178100</v>
      </c>
      <c r="F142" s="48">
        <v>178100</v>
      </c>
      <c r="G142" s="48">
        <v>178100</v>
      </c>
      <c r="H142" s="48">
        <v>178100</v>
      </c>
      <c r="I142" s="48">
        <v>178100</v>
      </c>
      <c r="J142" s="48">
        <v>178100</v>
      </c>
      <c r="K142" s="48">
        <v>178100</v>
      </c>
      <c r="L142" s="48">
        <v>178100</v>
      </c>
      <c r="M142" s="48">
        <v>178100</v>
      </c>
      <c r="N142" s="48">
        <v>178100</v>
      </c>
      <c r="O142" s="48">
        <v>178100</v>
      </c>
      <c r="P142" s="48">
        <v>178100</v>
      </c>
      <c r="Q142" s="48">
        <v>178100</v>
      </c>
      <c r="R142" s="48">
        <v>178100</v>
      </c>
      <c r="S142" s="48">
        <v>180400</v>
      </c>
      <c r="T142" s="48">
        <v>180723</v>
      </c>
      <c r="U142" s="39">
        <v>147987</v>
      </c>
      <c r="V142" s="39">
        <v>129615</v>
      </c>
      <c r="W142" s="39">
        <v>104045</v>
      </c>
      <c r="X142" s="39">
        <v>83744</v>
      </c>
      <c r="Y142" s="50">
        <f>AVERAGE(U142:X142)</f>
        <v>116347.75</v>
      </c>
      <c r="Z142" s="39">
        <v>66995</v>
      </c>
      <c r="AA142" s="39">
        <v>71044</v>
      </c>
      <c r="AB142" s="39">
        <v>86124</v>
      </c>
      <c r="AC142" s="39">
        <v>86408</v>
      </c>
      <c r="AD142" s="50">
        <f>AVERAGE(Z142:AC142)</f>
        <v>77642.75</v>
      </c>
      <c r="AE142" s="39">
        <v>83591</v>
      </c>
      <c r="AF142" s="39">
        <v>91194</v>
      </c>
      <c r="AG142" s="39">
        <v>107144</v>
      </c>
      <c r="AH142" s="39">
        <v>98065</v>
      </c>
      <c r="AI142" s="50">
        <f>AVERAGE(AE142:AH142)</f>
        <v>94998.5</v>
      </c>
      <c r="AJ142" s="39">
        <v>91545</v>
      </c>
      <c r="AK142" s="39">
        <v>103872</v>
      </c>
      <c r="AL142" s="39">
        <v>122572</v>
      </c>
      <c r="AM142" s="39">
        <v>106972</v>
      </c>
      <c r="AN142" s="50">
        <f>AVERAGE(AJ142:AM142)</f>
        <v>106240.25</v>
      </c>
      <c r="AO142" s="39">
        <v>96907</v>
      </c>
      <c r="AP142" s="39">
        <v>109361</v>
      </c>
      <c r="AQ142" s="39">
        <v>120049</v>
      </c>
      <c r="AR142" s="39">
        <v>99975</v>
      </c>
      <c r="AS142" s="50">
        <f>AVERAGE(AO142:AR142)</f>
        <v>106573</v>
      </c>
      <c r="AT142" s="39">
        <v>91343</v>
      </c>
      <c r="AU142" s="39">
        <v>106795</v>
      </c>
      <c r="AV142" s="39">
        <v>120391</v>
      </c>
      <c r="AW142" s="39">
        <v>101603</v>
      </c>
      <c r="AX142" s="50">
        <f>AVERAGE(AT142:AW142)</f>
        <v>105033</v>
      </c>
      <c r="AY142" s="82">
        <f>AT142/AT143*AY143</f>
        <v>92256.430000000008</v>
      </c>
      <c r="AZ142" s="82">
        <f t="shared" ref="AZ142" si="611">AU142/AU143*AZ143</f>
        <v>107862.95000000001</v>
      </c>
      <c r="BA142" s="82">
        <f t="shared" ref="BA142" si="612">AV142/AV143*BA143</f>
        <v>122798.82</v>
      </c>
      <c r="BB142" s="82">
        <f t="shared" ref="BB142" si="613">AW142/AW143*BB143</f>
        <v>103635.06</v>
      </c>
      <c r="BC142" s="50">
        <f>AVERAGE(AY142:BB142)</f>
        <v>106638.315</v>
      </c>
      <c r="BD142" s="82">
        <f>AY142/AY143*BD143</f>
        <v>94101.558600000018</v>
      </c>
      <c r="BE142" s="82">
        <f t="shared" ref="BE142" si="614">AZ142/AZ143*BE143</f>
        <v>110020.20900000002</v>
      </c>
      <c r="BF142" s="82">
        <f t="shared" ref="BF142" si="615">BA142/BA143*BF143</f>
        <v>125254.79639999999</v>
      </c>
      <c r="BG142" s="82">
        <f t="shared" ref="BG142" si="616">BB142/BB143*BG143</f>
        <v>105707.76120000001</v>
      </c>
      <c r="BH142" s="50">
        <f>AVERAGE(BD142:BG142)</f>
        <v>108771.08130000001</v>
      </c>
      <c r="BI142" s="50">
        <f>BH142/BH143*BI143</f>
        <v>110946.502926</v>
      </c>
      <c r="BJ142" s="50">
        <f t="shared" ref="BJ142" si="617">BI142/BI143*BJ143</f>
        <v>113165.43298452</v>
      </c>
      <c r="BK142" s="50">
        <f t="shared" ref="BK142" si="618">BJ142/BJ143*BK143</f>
        <v>115428.7416442104</v>
      </c>
      <c r="BL142" s="50">
        <f t="shared" ref="BL142" si="619">BK142/BK143*BL143</f>
        <v>117737.3164770946</v>
      </c>
    </row>
    <row r="143" spans="2:64" s="41" customFormat="1" ht="12.75" customHeight="1">
      <c r="C143" s="84" t="s">
        <v>270</v>
      </c>
      <c r="E143" s="48">
        <v>178100</v>
      </c>
      <c r="F143" s="48">
        <v>178100</v>
      </c>
      <c r="G143" s="48">
        <v>178100</v>
      </c>
      <c r="H143" s="48">
        <v>178100</v>
      </c>
      <c r="I143" s="48">
        <v>178100</v>
      </c>
      <c r="J143" s="48">
        <v>178100</v>
      </c>
      <c r="K143" s="48">
        <v>178100</v>
      </c>
      <c r="L143" s="48">
        <v>178100</v>
      </c>
      <c r="M143" s="48">
        <v>178100</v>
      </c>
      <c r="N143" s="48">
        <v>178100</v>
      </c>
      <c r="O143" s="48">
        <v>178100</v>
      </c>
      <c r="P143" s="48">
        <v>178100</v>
      </c>
      <c r="Q143" s="48">
        <v>178100</v>
      </c>
      <c r="R143" s="48">
        <v>178100</v>
      </c>
      <c r="S143" s="48">
        <v>180400</v>
      </c>
      <c r="T143" s="48">
        <v>180723</v>
      </c>
      <c r="U143" s="39">
        <v>147987</v>
      </c>
      <c r="V143" s="39">
        <v>129615</v>
      </c>
      <c r="W143" s="39">
        <v>104045</v>
      </c>
      <c r="X143" s="39">
        <v>83744</v>
      </c>
      <c r="Y143" s="50">
        <f>AVERAGE(U143:X143)</f>
        <v>116347.75</v>
      </c>
      <c r="Z143" s="39">
        <v>65149</v>
      </c>
      <c r="AA143" s="39">
        <v>69807</v>
      </c>
      <c r="AB143" s="39">
        <v>84241</v>
      </c>
      <c r="AC143" s="39">
        <v>85565</v>
      </c>
      <c r="AD143" s="50">
        <f>AVERAGE(Z143:AC143)</f>
        <v>76190.5</v>
      </c>
      <c r="AE143" s="39">
        <v>82364</v>
      </c>
      <c r="AF143" s="39">
        <v>90648</v>
      </c>
      <c r="AG143" s="39">
        <v>106020</v>
      </c>
      <c r="AH143" s="39">
        <v>95221</v>
      </c>
      <c r="AI143" s="50">
        <f>AVERAGE(AE143:AH143)</f>
        <v>93563.25</v>
      </c>
      <c r="AJ143" s="39">
        <v>89776</v>
      </c>
      <c r="AK143" s="39">
        <v>101892</v>
      </c>
      <c r="AL143" s="39">
        <v>119914</v>
      </c>
      <c r="AM143" s="39">
        <v>105112</v>
      </c>
      <c r="AN143" s="50">
        <f>AVERAGE(AJ143:AM143)</f>
        <v>104173.5</v>
      </c>
      <c r="AO143" s="39">
        <v>95409</v>
      </c>
      <c r="AP143" s="39">
        <v>106903</v>
      </c>
      <c r="AQ143" s="39">
        <v>117466</v>
      </c>
      <c r="AR143" s="39">
        <v>97948</v>
      </c>
      <c r="AS143" s="50">
        <f>AVERAGE(AO143:AR143)</f>
        <v>104431.5</v>
      </c>
      <c r="AT143" s="39">
        <v>90516</v>
      </c>
      <c r="AU143" s="39">
        <v>105518</v>
      </c>
      <c r="AV143" s="39">
        <v>118770</v>
      </c>
      <c r="AW143" s="39">
        <v>100013</v>
      </c>
      <c r="AX143" s="50">
        <f>AVERAGE(AT143:AW143)</f>
        <v>103704.25</v>
      </c>
      <c r="AY143" s="82">
        <f>AT143*(1+AY159)</f>
        <v>91421.16</v>
      </c>
      <c r="AZ143" s="82">
        <f t="shared" ref="AZ143" si="620">AU143*(1+AZ159)</f>
        <v>106573.18000000001</v>
      </c>
      <c r="BA143" s="82">
        <f t="shared" ref="BA143" si="621">AV143*(1+BA159)</f>
        <v>121145.40000000001</v>
      </c>
      <c r="BB143" s="82">
        <f t="shared" ref="BB143" si="622">AW143*(1+BB159)</f>
        <v>102013.26</v>
      </c>
      <c r="BC143" s="50">
        <f>AVERAGE(AY143:BB143)</f>
        <v>105288.25000000001</v>
      </c>
      <c r="BD143" s="82">
        <f>AY143*(1+BD159)</f>
        <v>93249.583200000008</v>
      </c>
      <c r="BE143" s="82">
        <f t="shared" ref="BE143" si="623">AZ143*(1+BE159)</f>
        <v>108704.64360000001</v>
      </c>
      <c r="BF143" s="82">
        <f t="shared" ref="BF143" si="624">BA143*(1+BF159)</f>
        <v>123568.308</v>
      </c>
      <c r="BG143" s="82">
        <f t="shared" ref="BG143" si="625">BB143*(1+BG159)</f>
        <v>104053.5252</v>
      </c>
      <c r="BH143" s="50">
        <f>AVERAGE(BD143:BG143)</f>
        <v>107394.01500000001</v>
      </c>
      <c r="BI143" s="50">
        <f>BH143*(1+BI159)</f>
        <v>109541.89530000002</v>
      </c>
      <c r="BJ143" s="50">
        <f t="shared" ref="BJ143:BL143" si="626">BI143*(1+BJ159)</f>
        <v>111732.73320600002</v>
      </c>
      <c r="BK143" s="50">
        <f t="shared" si="626"/>
        <v>113967.38787012002</v>
      </c>
      <c r="BL143" s="50">
        <f t="shared" si="626"/>
        <v>116246.73562752242</v>
      </c>
    </row>
    <row r="144" spans="2:64" s="41" customFormat="1" ht="12.75" customHeight="1">
      <c r="C144" s="84" t="s">
        <v>271</v>
      </c>
      <c r="E144" s="109">
        <f t="shared" ref="E144:Q144" si="627">E141/E140</f>
        <v>0.77378416004553385</v>
      </c>
      <c r="F144" s="109">
        <f t="shared" si="627"/>
        <v>0.77378416004553385</v>
      </c>
      <c r="G144" s="109">
        <f t="shared" si="627"/>
        <v>0.77378416004553385</v>
      </c>
      <c r="H144" s="109">
        <f t="shared" si="627"/>
        <v>0.77378416004553385</v>
      </c>
      <c r="I144" s="109">
        <f t="shared" si="627"/>
        <v>0.77378416004553385</v>
      </c>
      <c r="J144" s="109">
        <f t="shared" si="627"/>
        <v>0.77378416004553385</v>
      </c>
      <c r="K144" s="109">
        <f t="shared" si="627"/>
        <v>0.77378416004553385</v>
      </c>
      <c r="L144" s="109">
        <f t="shared" si="627"/>
        <v>0.77378416004553385</v>
      </c>
      <c r="M144" s="109">
        <f t="shared" si="627"/>
        <v>0.77378416004553385</v>
      </c>
      <c r="N144" s="109">
        <f t="shared" si="627"/>
        <v>0.77378416004553385</v>
      </c>
      <c r="O144" s="109">
        <f t="shared" si="627"/>
        <v>0.77378416004553385</v>
      </c>
      <c r="P144" s="109">
        <f t="shared" si="627"/>
        <v>0.77378416004553385</v>
      </c>
      <c r="Q144" s="109">
        <f t="shared" si="627"/>
        <v>0.77378416004553385</v>
      </c>
      <c r="R144" s="109">
        <f t="shared" ref="R144:X144" si="628">R141/R140</f>
        <v>0.77378416004553385</v>
      </c>
      <c r="S144" s="109">
        <f t="shared" si="628"/>
        <v>0.7656805272909516</v>
      </c>
      <c r="T144" s="109">
        <f t="shared" si="628"/>
        <v>0.76009762613320508</v>
      </c>
      <c r="U144" s="110">
        <f t="shared" si="628"/>
        <v>0.65813621734074212</v>
      </c>
      <c r="V144" s="110">
        <f t="shared" si="628"/>
        <v>0.36083193125202151</v>
      </c>
      <c r="W144" s="110">
        <f t="shared" si="628"/>
        <v>0.64708623150100186</v>
      </c>
      <c r="X144" s="110">
        <f t="shared" si="628"/>
        <v>0.68895266734229366</v>
      </c>
      <c r="Y144" s="109">
        <f t="shared" ref="Y144" si="629">Y141/Y140</f>
        <v>0.57879509722633948</v>
      </c>
      <c r="Z144" s="110">
        <f>Z141/Z140</f>
        <v>0.74990491881004395</v>
      </c>
      <c r="AA144" s="110">
        <f t="shared" ref="AA144:AD144" si="630">AA141/AA140</f>
        <v>0.77025557278253998</v>
      </c>
      <c r="AB144" s="110">
        <f t="shared" si="630"/>
        <v>0.75637031023311485</v>
      </c>
      <c r="AC144" s="110">
        <f t="shared" si="630"/>
        <v>0.67772021778510616</v>
      </c>
      <c r="AD144" s="109">
        <f t="shared" si="630"/>
        <v>0.73593651612675182</v>
      </c>
      <c r="AE144" s="110">
        <f>AE141/AE140</f>
        <v>0.68017850301372229</v>
      </c>
      <c r="AF144" s="110">
        <f>AF141/AF140</f>
        <v>0.76179226298368463</v>
      </c>
      <c r="AG144" s="110">
        <f>AG141/AG140</f>
        <v>0.76585221820329219</v>
      </c>
      <c r="AH144" s="110">
        <f>AH141/AH140</f>
        <v>0.71972158132819619</v>
      </c>
      <c r="AI144" s="109">
        <f t="shared" ref="AI144" si="631">AI141/AI140</f>
        <v>0.73446492996526791</v>
      </c>
      <c r="AJ144" s="110">
        <f>AJ141/AJ140</f>
        <v>0.73120259807124888</v>
      </c>
      <c r="AK144" s="110">
        <f t="shared" ref="AK144:AN144" si="632">AK141/AK140</f>
        <v>0.78050752294068748</v>
      </c>
      <c r="AL144" s="110">
        <f t="shared" si="632"/>
        <v>0.79921407443450421</v>
      </c>
      <c r="AM144" s="110">
        <f t="shared" si="632"/>
        <v>0.72520987964804418</v>
      </c>
      <c r="AN144" s="109">
        <f t="shared" si="632"/>
        <v>0.76140990146633225</v>
      </c>
      <c r="AO144" s="110">
        <f>AO141/AO140</f>
        <v>0.72492988255652158</v>
      </c>
      <c r="AP144" s="110">
        <f>AP141/AP140</f>
        <v>0.77147065538410964</v>
      </c>
      <c r="AQ144" s="110">
        <f>AQ141/AQ140</f>
        <v>0.79625260667471587</v>
      </c>
      <c r="AR144" s="110">
        <f>AR141/AR140</f>
        <v>0.74351785596971598</v>
      </c>
      <c r="AS144" s="109">
        <f t="shared" ref="AS144" si="633">AS141/AS140</f>
        <v>0.76131721690216303</v>
      </c>
      <c r="AT144" s="110">
        <f>AT141/AT140</f>
        <v>0.7541944702225758</v>
      </c>
      <c r="AU144" s="110">
        <f t="shared" ref="AU144:AX144" si="634">AU141/AU140</f>
        <v>0.80815335084748829</v>
      </c>
      <c r="AV144" s="110">
        <f t="shared" si="634"/>
        <v>0.82009071241090747</v>
      </c>
      <c r="AW144" s="110">
        <f t="shared" si="634"/>
        <v>0.75511922580499313</v>
      </c>
      <c r="AX144" s="109">
        <f t="shared" si="634"/>
        <v>0.78710837246433907</v>
      </c>
      <c r="AY144" s="136">
        <f>AT144+0.01</f>
        <v>0.76419447022257581</v>
      </c>
      <c r="AZ144" s="136">
        <f>AU144+0.01</f>
        <v>0.8181533508474883</v>
      </c>
      <c r="BA144" s="136">
        <f>AV144+0.01</f>
        <v>0.83009071241090748</v>
      </c>
      <c r="BB144" s="136">
        <f>AW144+0.01</f>
        <v>0.76511922580499314</v>
      </c>
      <c r="BC144" s="109">
        <f t="shared" ref="BC144" si="635">BC141/BC140</f>
        <v>0.79712554877197417</v>
      </c>
      <c r="BD144" s="136">
        <f t="shared" ref="BD144" si="636">AY144</f>
        <v>0.76419447022257581</v>
      </c>
      <c r="BE144" s="136">
        <f t="shared" ref="BE144" si="637">AZ144</f>
        <v>0.8181533508474883</v>
      </c>
      <c r="BF144" s="136">
        <f t="shared" ref="BF144" si="638">BA144</f>
        <v>0.83009071241090748</v>
      </c>
      <c r="BG144" s="136">
        <f t="shared" ref="BG144" si="639">BB144</f>
        <v>0.76511922580499314</v>
      </c>
      <c r="BH144" s="109">
        <f t="shared" ref="BH144" si="640">BH141/BH140</f>
        <v>0.79712554877197428</v>
      </c>
      <c r="BI144" s="139">
        <f>BH144</f>
        <v>0.79712554877197428</v>
      </c>
      <c r="BJ144" s="139">
        <f t="shared" ref="BJ144:BL144" si="641">BI144</f>
        <v>0.79712554877197428</v>
      </c>
      <c r="BK144" s="139">
        <f t="shared" si="641"/>
        <v>0.79712554877197428</v>
      </c>
      <c r="BL144" s="139">
        <f t="shared" si="641"/>
        <v>0.79712554877197428</v>
      </c>
    </row>
    <row r="145" spans="3:64" s="41" customFormat="1" ht="12.75" customHeight="1">
      <c r="C145" s="84" t="s">
        <v>272</v>
      </c>
      <c r="E145" s="209">
        <f t="shared" ref="E145:Q145" si="642">(E134+E137)/E141*1000</f>
        <v>43.120415101091432</v>
      </c>
      <c r="F145" s="209">
        <f t="shared" si="642"/>
        <v>43.120415101091432</v>
      </c>
      <c r="G145" s="209">
        <f t="shared" si="642"/>
        <v>43.120415101091432</v>
      </c>
      <c r="H145" s="209">
        <f t="shared" si="642"/>
        <v>43.120415101091432</v>
      </c>
      <c r="I145" s="209">
        <f t="shared" si="642"/>
        <v>43.120415101091432</v>
      </c>
      <c r="J145" s="209">
        <f t="shared" si="642"/>
        <v>43.120415101091432</v>
      </c>
      <c r="K145" s="209">
        <f t="shared" si="642"/>
        <v>43.120415101091432</v>
      </c>
      <c r="L145" s="209">
        <f t="shared" si="642"/>
        <v>43.120415101091432</v>
      </c>
      <c r="M145" s="209">
        <f t="shared" si="642"/>
        <v>43.120415101091432</v>
      </c>
      <c r="N145" s="209">
        <f t="shared" si="642"/>
        <v>43.120415101091432</v>
      </c>
      <c r="O145" s="209">
        <f t="shared" si="642"/>
        <v>43.120415101091432</v>
      </c>
      <c r="P145" s="209">
        <f t="shared" si="642"/>
        <v>43.120415101091432</v>
      </c>
      <c r="Q145" s="209">
        <f t="shared" si="642"/>
        <v>43.120415101091432</v>
      </c>
      <c r="R145" s="209">
        <f t="shared" ref="R145:X145" si="643">(R134+R137)/R141*1000</f>
        <v>43.120415101091432</v>
      </c>
      <c r="S145" s="209">
        <f t="shared" si="643"/>
        <v>45.143503183450029</v>
      </c>
      <c r="T145" s="209">
        <f t="shared" si="643"/>
        <v>43.259737928558607</v>
      </c>
      <c r="U145" s="208">
        <f t="shared" si="643"/>
        <v>41.520929707773895</v>
      </c>
      <c r="V145" s="208">
        <f t="shared" si="643"/>
        <v>31.719924812030079</v>
      </c>
      <c r="W145" s="208">
        <f t="shared" si="643"/>
        <v>40.84597998062641</v>
      </c>
      <c r="X145" s="208">
        <f t="shared" si="643"/>
        <v>40.88168801808591</v>
      </c>
      <c r="Y145" s="209">
        <f t="shared" ref="Y145" si="644">(Y134+Y137)/Y141*1000</f>
        <v>39.519109703098977</v>
      </c>
      <c r="Z145" s="208">
        <f>(Z134+Z137)/Z141*1000</f>
        <v>42.301569251762565</v>
      </c>
      <c r="AA145" s="208">
        <f t="shared" ref="AA145:AD145" si="645">(AA134+AA137)/AA141*1000</f>
        <v>47.005926834253017</v>
      </c>
      <c r="AB145" s="208">
        <f t="shared" si="645"/>
        <v>53.224155578300923</v>
      </c>
      <c r="AC145" s="208">
        <f t="shared" si="645"/>
        <v>48.359887535145269</v>
      </c>
      <c r="AD145" s="209">
        <f t="shared" si="645"/>
        <v>48.128081222238492</v>
      </c>
      <c r="AE145" s="208">
        <f>(AE134+AE137)/AE141*1000</f>
        <v>47.00515668385561</v>
      </c>
      <c r="AF145" s="208">
        <f>(AF134+AF137)/AF141*1000</f>
        <v>57.765754296626348</v>
      </c>
      <c r="AG145" s="208">
        <f>(AG134+AG137)/AG141*1000</f>
        <v>62.784471218206157</v>
      </c>
      <c r="AH145" s="208">
        <f>(AH134+AH137)/AH141*1000</f>
        <v>54.08406026962728</v>
      </c>
      <c r="AI145" s="209">
        <f t="shared" ref="AI145" si="646">(AI134+AI137)/AI141*1000</f>
        <v>56.173060834229709</v>
      </c>
      <c r="AJ145" s="208">
        <f>(AJ134+AJ137)/AJ141*1000</f>
        <v>53.148273527420443</v>
      </c>
      <c r="AK145" s="208">
        <f t="shared" ref="AK145:AN145" si="647">(AK134+AK137)/AK141*1000</f>
        <v>57.206024595827003</v>
      </c>
      <c r="AL145" s="208">
        <f t="shared" si="647"/>
        <v>59.09039355789951</v>
      </c>
      <c r="AM145" s="208">
        <f t="shared" si="647"/>
        <v>54.042492513902751</v>
      </c>
      <c r="AN145" s="209">
        <f t="shared" si="647"/>
        <v>56.186367558239866</v>
      </c>
      <c r="AO145" s="208">
        <f>(AO134+AO137)/AO141*1000</f>
        <v>51.954242135367011</v>
      </c>
      <c r="AP145" s="208">
        <f>(AP134+AP137)/AP141*1000</f>
        <v>54.763491005996002</v>
      </c>
      <c r="AQ145" s="208">
        <f>(AQ134+AQ137)/AQ141*1000</f>
        <v>56.827425915165605</v>
      </c>
      <c r="AR145" s="208">
        <f>(AR134+AR137)/AR141*1000</f>
        <v>53.582089552238806</v>
      </c>
      <c r="AS145" s="209">
        <f t="shared" ref="AS145" si="648">(AS134+AS137)/AS141*1000</f>
        <v>54.494227597581087</v>
      </c>
      <c r="AT145" s="208">
        <f>(AT134+AT137)/AT141*1000</f>
        <v>52.083333333333336</v>
      </c>
      <c r="AU145" s="208">
        <f t="shared" ref="AU145:AX145" si="649">(AU134+AU137)/AU141*1000</f>
        <v>53.994845360824748</v>
      </c>
      <c r="AV145" s="208">
        <f t="shared" si="649"/>
        <v>57.806048432094627</v>
      </c>
      <c r="AW145" s="208">
        <f t="shared" si="649"/>
        <v>53.828439838802531</v>
      </c>
      <c r="AX145" s="209">
        <f t="shared" si="649"/>
        <v>54.707677858652261</v>
      </c>
      <c r="AY145" s="208">
        <f>AT145*(1+AY161)</f>
        <v>52.604166666666671</v>
      </c>
      <c r="AZ145" s="208">
        <f t="shared" ref="AZ145" si="650">AU145*(1+AZ161)</f>
        <v>54.534793814432994</v>
      </c>
      <c r="BA145" s="208">
        <f t="shared" ref="BA145" si="651">AV145*(1+BA161)</f>
        <v>58.384108916415578</v>
      </c>
      <c r="BB145" s="208">
        <f t="shared" ref="BB145" si="652">AW145*(1+BB161)</f>
        <v>54.36672423719056</v>
      </c>
      <c r="BC145" s="209">
        <f t="shared" ref="BC145" si="653">(BC134+BC137)/BC141*1000</f>
        <v>55.261156411121114</v>
      </c>
      <c r="BD145" s="208">
        <f>AY145*(1+BD161)</f>
        <v>52.604166666666671</v>
      </c>
      <c r="BE145" s="208">
        <f t="shared" ref="BE145" si="654">AZ145*(1+BE161)</f>
        <v>54.534793814432994</v>
      </c>
      <c r="BF145" s="208">
        <f t="shared" ref="BF145" si="655">BA145*(1+BF161)</f>
        <v>58.384108916415578</v>
      </c>
      <c r="BG145" s="208">
        <f t="shared" ref="BG145" si="656">BB145*(1+BG161)</f>
        <v>54.36672423719056</v>
      </c>
      <c r="BH145" s="209">
        <f t="shared" ref="BH145" si="657">(BH134+BH137)/BH141*1000</f>
        <v>55.261156411121114</v>
      </c>
      <c r="BI145" s="209">
        <f>BH145*(1+BI161)</f>
        <v>55.261156411121114</v>
      </c>
      <c r="BJ145" s="209">
        <f t="shared" ref="BJ145:BL145" si="658">BI145*(1+BJ161)</f>
        <v>55.261156411121114</v>
      </c>
      <c r="BK145" s="209">
        <f t="shared" si="658"/>
        <v>55.261156411121114</v>
      </c>
      <c r="BL145" s="209">
        <f t="shared" si="658"/>
        <v>55.261156411121114</v>
      </c>
    </row>
    <row r="146" spans="3:64" s="41" customFormat="1" ht="12.75" customHeight="1">
      <c r="C146" s="84" t="s">
        <v>273</v>
      </c>
      <c r="E146" s="83">
        <f t="shared" ref="E146:Q146" si="659">(E134+E137)/E143/12*1000000</f>
        <v>1014.8792813026389</v>
      </c>
      <c r="F146" s="83">
        <f t="shared" si="659"/>
        <v>1014.8792813026389</v>
      </c>
      <c r="G146" s="83">
        <f t="shared" si="659"/>
        <v>1014.8792813026389</v>
      </c>
      <c r="H146" s="83">
        <f t="shared" si="659"/>
        <v>1014.8792813026389</v>
      </c>
      <c r="I146" s="83">
        <f t="shared" si="659"/>
        <v>1014.8792813026389</v>
      </c>
      <c r="J146" s="83">
        <f t="shared" si="659"/>
        <v>1014.8792813026389</v>
      </c>
      <c r="K146" s="83">
        <f t="shared" si="659"/>
        <v>1014.8792813026389</v>
      </c>
      <c r="L146" s="83">
        <f t="shared" si="659"/>
        <v>1014.8792813026389</v>
      </c>
      <c r="M146" s="83">
        <f t="shared" si="659"/>
        <v>1014.8792813026389</v>
      </c>
      <c r="N146" s="83">
        <f t="shared" si="659"/>
        <v>1014.8792813026389</v>
      </c>
      <c r="O146" s="83">
        <f t="shared" si="659"/>
        <v>1014.8792813026389</v>
      </c>
      <c r="P146" s="83">
        <f t="shared" si="659"/>
        <v>1014.8792813026389</v>
      </c>
      <c r="Q146" s="83">
        <f t="shared" si="659"/>
        <v>1014.8792813026389</v>
      </c>
      <c r="R146" s="83">
        <f t="shared" ref="R146:T146" si="660">(R134+R137)/R143/12*1000000</f>
        <v>1014.8792813026389</v>
      </c>
      <c r="S146" s="83">
        <f t="shared" si="660"/>
        <v>1051.3673318551369</v>
      </c>
      <c r="T146" s="83">
        <f t="shared" si="660"/>
        <v>1000.1493999103601</v>
      </c>
      <c r="U146" s="82">
        <f>(U134+U137)/U143/3*1000000</f>
        <v>828.90163775646954</v>
      </c>
      <c r="V146" s="82">
        <f>(V134+V137)/V143/3*1000000</f>
        <v>347.18203911584305</v>
      </c>
      <c r="W146" s="82">
        <f>(W134+W137)/W143/3*1000000</f>
        <v>810.54671856728658</v>
      </c>
      <c r="X146" s="82">
        <f>(X134+X137)/X143/3*1000000</f>
        <v>863.74347216915044</v>
      </c>
      <c r="Y146" s="83">
        <f>(Y134+Y137)/Y143/12*1000000</f>
        <v>696.90503970496491</v>
      </c>
      <c r="Z146" s="82">
        <f>(Z134+Z137)/Z143/3*1000000</f>
        <v>951.66464565841386</v>
      </c>
      <c r="AA146" s="82">
        <f t="shared" ref="AA146:AC146" si="661">(AA134+AA137)/AA143/3*1000000</f>
        <v>1098.2661719693822</v>
      </c>
      <c r="AB146" s="82">
        <f t="shared" si="661"/>
        <v>1234.5532460440879</v>
      </c>
      <c r="AC146" s="82">
        <f t="shared" si="661"/>
        <v>1005.0838543797112</v>
      </c>
      <c r="AD146" s="83">
        <f>(AD134+AD137)/AD143/12*1000000</f>
        <v>1078.4371629883867</v>
      </c>
      <c r="AE146" s="82">
        <f>(AE134+AE137)/AE143/3*1000000</f>
        <v>959.15691321451118</v>
      </c>
      <c r="AF146" s="82">
        <f>(AF134+AF137)/AF143/3*1000000</f>
        <v>1334.833642220457</v>
      </c>
      <c r="AG146" s="82">
        <f>(AG134+AG137)/AG143/3*1000000</f>
        <v>1474.564547569641</v>
      </c>
      <c r="AH146" s="82">
        <f>(AH134+AH137)/AH143/3*1000000</f>
        <v>1193.7142717117722</v>
      </c>
      <c r="AI146" s="83">
        <f>(AI134+AI137)/AI143/12*1000000</f>
        <v>1255.8349565668145</v>
      </c>
      <c r="AJ146" s="82">
        <f>(AJ134+AJ137)/AJ143/3*1000000</f>
        <v>1165.8646705875365</v>
      </c>
      <c r="AK146" s="82">
        <f t="shared" ref="AK146:AM146" si="662">(AK134+AK137)/AK143/3*1000000</f>
        <v>1354.3752208220469</v>
      </c>
      <c r="AL146" s="82">
        <f t="shared" si="662"/>
        <v>1448.2601419906489</v>
      </c>
      <c r="AM146" s="82">
        <f t="shared" si="662"/>
        <v>1201.8925844178907</v>
      </c>
      <c r="AN146" s="83">
        <f>(AN134+AN137)/AN143/12*1000000</f>
        <v>1302.3145681643284</v>
      </c>
      <c r="AO146" s="82">
        <f>(AO134+AO137)/AO143/3*1000000</f>
        <v>1142.4498737016422</v>
      </c>
      <c r="AP146" s="82">
        <f>(AP134+AP137)/AP143/3*1000000</f>
        <v>1281.535597691365</v>
      </c>
      <c r="AQ146" s="82">
        <f>(AQ134+AQ137)/AQ143/3*1000000</f>
        <v>1387.6355711439905</v>
      </c>
      <c r="AR146" s="82">
        <f>(AR134+AR137)/AR143/3*1000000</f>
        <v>1221.7367038292427</v>
      </c>
      <c r="AS146" s="83">
        <f>(AS134+AS137)/AS143/12*1000000</f>
        <v>1265.5823833485745</v>
      </c>
      <c r="AT146" s="82">
        <f>(AT134+AT137)/AT143/3*1000000</f>
        <v>1178.4288597227746</v>
      </c>
      <c r="AU146" s="82">
        <f t="shared" ref="AU146:AW146" si="663">(AU134+AU137)/AU143/3*1000000</f>
        <v>1323.6288279408882</v>
      </c>
      <c r="AV146" s="82">
        <f t="shared" si="663"/>
        <v>1453.7902388369678</v>
      </c>
      <c r="AW146" s="82">
        <f t="shared" si="663"/>
        <v>1246.5046210659282</v>
      </c>
      <c r="AX146" s="83">
        <f>(AX134+AX137)/AX143/12*1000000</f>
        <v>1310.6180958511025</v>
      </c>
      <c r="AY146" s="82">
        <f>(AY134+AY137)/AY143/3*1000000</f>
        <v>1205.9943983200028</v>
      </c>
      <c r="AZ146" s="82">
        <f t="shared" ref="AZ146:BB146" si="664">(AZ134+AZ137)/AZ143/3*1000000</f>
        <v>1353.4073370106755</v>
      </c>
      <c r="BA146" s="82">
        <f t="shared" si="664"/>
        <v>1486.2326012930378</v>
      </c>
      <c r="BB146" s="82">
        <f t="shared" si="664"/>
        <v>1275.6421293759925</v>
      </c>
      <c r="BC146" s="83">
        <f>(BC134+BC137)/BC143/12*1000000</f>
        <v>1340.7787330878527</v>
      </c>
      <c r="BD146" s="82">
        <f>(BD134+BD137)/BD143/3*1000000</f>
        <v>1205.9943983200023</v>
      </c>
      <c r="BE146" s="82">
        <f t="shared" ref="BE146:BG146" si="665">(BE134+BE137)/BE143/3*1000000</f>
        <v>1353.4073370106755</v>
      </c>
      <c r="BF146" s="82">
        <f t="shared" si="665"/>
        <v>1486.2326012930382</v>
      </c>
      <c r="BG146" s="82">
        <f t="shared" si="665"/>
        <v>1275.6421293759925</v>
      </c>
      <c r="BH146" s="83">
        <f>(BH134+BH137)/BH143/12*1000000</f>
        <v>1340.7787330878527</v>
      </c>
      <c r="BI146" s="83">
        <f t="shared" ref="BI146:BL146" si="666">(BI134+BI137)/BI143/12*1000000</f>
        <v>1343.527428714659</v>
      </c>
      <c r="BJ146" s="83">
        <f t="shared" si="666"/>
        <v>1339.8565887454936</v>
      </c>
      <c r="BK146" s="83">
        <f t="shared" si="666"/>
        <v>1339.8565887454936</v>
      </c>
      <c r="BL146" s="83">
        <f t="shared" si="666"/>
        <v>1339.8565887454931</v>
      </c>
    </row>
    <row r="147" spans="3:64" s="41" customFormat="1" ht="12.75" customHeight="1">
      <c r="C147" s="84" t="s">
        <v>274</v>
      </c>
      <c r="E147" s="83">
        <f t="shared" ref="E147:Q147" si="667">(E169+E138)/E142*1000000/12</f>
        <v>194.64720194647202</v>
      </c>
      <c r="F147" s="83">
        <f t="shared" si="667"/>
        <v>194.64720194647202</v>
      </c>
      <c r="G147" s="83">
        <f t="shared" si="667"/>
        <v>194.64720194647202</v>
      </c>
      <c r="H147" s="83">
        <f t="shared" si="667"/>
        <v>194.64720194647202</v>
      </c>
      <c r="I147" s="83">
        <f t="shared" si="667"/>
        <v>194.64720194647202</v>
      </c>
      <c r="J147" s="83">
        <f t="shared" si="667"/>
        <v>194.64720194647202</v>
      </c>
      <c r="K147" s="83">
        <f t="shared" si="667"/>
        <v>194.64720194647202</v>
      </c>
      <c r="L147" s="83">
        <f t="shared" si="667"/>
        <v>194.64720194647202</v>
      </c>
      <c r="M147" s="83">
        <f t="shared" si="667"/>
        <v>194.64720194647202</v>
      </c>
      <c r="N147" s="83">
        <f t="shared" si="667"/>
        <v>194.64720194647202</v>
      </c>
      <c r="O147" s="83">
        <f t="shared" si="667"/>
        <v>194.64720194647202</v>
      </c>
      <c r="P147" s="83">
        <f t="shared" si="667"/>
        <v>194.64720194647202</v>
      </c>
      <c r="Q147" s="83">
        <f t="shared" si="667"/>
        <v>194.64720194647202</v>
      </c>
      <c r="R147" s="83">
        <f t="shared" ref="R147:T147" si="668">(R169+R138)/R142*1000000/12</f>
        <v>194.64720194647202</v>
      </c>
      <c r="S147" s="83">
        <f t="shared" si="668"/>
        <v>206.94752402069477</v>
      </c>
      <c r="T147" s="83">
        <f t="shared" si="668"/>
        <v>202.88876715562859</v>
      </c>
      <c r="U147" s="82">
        <f>(U169+U138)/U142*1000000/3</f>
        <v>200.46805913132008</v>
      </c>
      <c r="V147" s="82">
        <f>(V169+V138)/V142*1000000/3</f>
        <v>208.30922346950584</v>
      </c>
      <c r="W147" s="82">
        <f>(W169+W138)/W142*1000000/3</f>
        <v>189.02077626667949</v>
      </c>
      <c r="X147" s="82">
        <f>(X169+X138)/X142*1000000/3</f>
        <v>183.09769456120239</v>
      </c>
      <c r="Y147" s="83">
        <f>(Y169+Y138)/Y142*1000000/12</f>
        <v>196.96699477786777</v>
      </c>
      <c r="Z147" s="82">
        <f>(Z169+Z138)/Z142*1000000/3</f>
        <v>164.19135756399731</v>
      </c>
      <c r="AA147" s="82">
        <f t="shared" ref="AA147:AC147" si="669">(AA169+AA138)/AA142*1000000/3</f>
        <v>168.90940825403973</v>
      </c>
      <c r="AB147" s="82">
        <f t="shared" si="669"/>
        <v>143.20437199077298</v>
      </c>
      <c r="AC147" s="82">
        <f t="shared" si="669"/>
        <v>185.16803999629664</v>
      </c>
      <c r="AD147" s="83">
        <f>(AD169+AD138)/AD142*1000000/12</f>
        <v>165.28694995132619</v>
      </c>
      <c r="AE147" s="82">
        <f>(AE169+AE138)/AE142*1000000/3</f>
        <v>127.60544396725327</v>
      </c>
      <c r="AF147" s="82">
        <f>(AF169+AF138)/AF142*1000000/3</f>
        <v>160.82929432491903</v>
      </c>
      <c r="AG147" s="82">
        <f>(AG169+AG138)/AG142*1000000/3</f>
        <v>136.8874287563155</v>
      </c>
      <c r="AH147" s="82">
        <f>(AH169+AH138)/AH142*1000000/3</f>
        <v>95.174968983157427</v>
      </c>
      <c r="AI147" s="83">
        <f>(AI169+AI138)/AI142*1000000/12</f>
        <v>129.82661129737136</v>
      </c>
      <c r="AJ147" s="82">
        <f>(AJ169+AJ138)/AJ142*1000000/3</f>
        <v>112.87709141223804</v>
      </c>
      <c r="AK147" s="82">
        <f t="shared" ref="AK147:AM147" si="670">(AK169+AK138)/AK142*1000000/3</f>
        <v>179.70835900595603</v>
      </c>
      <c r="AL147" s="82">
        <f t="shared" si="670"/>
        <v>228.4371634631074</v>
      </c>
      <c r="AM147" s="82">
        <f t="shared" si="670"/>
        <v>271.09897917211981</v>
      </c>
      <c r="AN147" s="83">
        <f>(AN169+AN138)/AN142*1000000/12</f>
        <v>202.37151173872425</v>
      </c>
      <c r="AO147" s="82">
        <f>(AO169+AO138)/AO142*1000000/3</f>
        <v>306.13543569263999</v>
      </c>
      <c r="AP147" s="82">
        <f>(AP169+AP138)/AP142*1000000/3</f>
        <v>384.04915829226138</v>
      </c>
      <c r="AQ147" s="82">
        <f>(AQ169+AQ138)/AQ142*1000000/3</f>
        <v>305.43083796338721</v>
      </c>
      <c r="AR147" s="82">
        <f>(AR169+AR138)/AR142*1000000/3</f>
        <v>240.06001500375092</v>
      </c>
      <c r="AS147" s="83">
        <f>(AS169+AS138)/AS142*1000000/12</f>
        <v>310.42884532980526</v>
      </c>
      <c r="AT147" s="82">
        <f>(AT169+AT138)/AT142*1000000/3</f>
        <v>266.39516255578786</v>
      </c>
      <c r="AU147" s="82">
        <f t="shared" ref="AU147:AW147" si="671">(AU169+AU138)/AU142*1000000/3</f>
        <v>262.18455920220987</v>
      </c>
      <c r="AV147" s="82">
        <f t="shared" si="671"/>
        <v>254.72557472457797</v>
      </c>
      <c r="AW147" s="82">
        <f t="shared" si="671"/>
        <v>262.4594418143821</v>
      </c>
      <c r="AX147" s="83">
        <f>(AX169+AX138)/AX142*1000000/12</f>
        <v>261.02907340232753</v>
      </c>
      <c r="AY147" s="82">
        <f>AT147*(1+AY163)</f>
        <v>266.39516255578786</v>
      </c>
      <c r="AZ147" s="82">
        <f t="shared" ref="AZ147" si="672">AU147*(1+AZ163)</f>
        <v>262.18455920220987</v>
      </c>
      <c r="BA147" s="82">
        <f t="shared" ref="BA147" si="673">AV147*(1+BA163)</f>
        <v>254.72557472457797</v>
      </c>
      <c r="BB147" s="82">
        <f t="shared" ref="BB147" si="674">AW147*(1+BB163)</f>
        <v>262.4594418143821</v>
      </c>
      <c r="BC147" s="83">
        <f>(BC169+BC138)/BC142*1000000/12</f>
        <v>261.01468938876866</v>
      </c>
      <c r="BD147" s="82">
        <f>AY147*(1+BD163)</f>
        <v>266.39516255578786</v>
      </c>
      <c r="BE147" s="82">
        <f t="shared" ref="BE147" si="675">AZ147*(1+BE163)</f>
        <v>262.18455920220987</v>
      </c>
      <c r="BF147" s="82">
        <f t="shared" ref="BF147" si="676">BA147*(1+BF163)</f>
        <v>254.72557472457797</v>
      </c>
      <c r="BG147" s="82">
        <f t="shared" ref="BG147" si="677">BB147*(1+BG163)</f>
        <v>262.4594418143821</v>
      </c>
      <c r="BH147" s="83">
        <f>(BH169+BH138)/BH142*1000000/12</f>
        <v>261.0146893887686</v>
      </c>
      <c r="BI147" s="83">
        <f>BH147*(1+BI163)</f>
        <v>261.0146893887686</v>
      </c>
      <c r="BJ147" s="83">
        <f t="shared" ref="BJ147:BL147" si="678">BI147*(1+BJ163)</f>
        <v>261.0146893887686</v>
      </c>
      <c r="BK147" s="83">
        <f t="shared" si="678"/>
        <v>261.0146893887686</v>
      </c>
      <c r="BL147" s="83">
        <f t="shared" si="678"/>
        <v>261.0146893887686</v>
      </c>
    </row>
    <row r="148" spans="3:64" s="41" customFormat="1" ht="12.75" customHeight="1">
      <c r="C148" s="84" t="s">
        <v>267</v>
      </c>
      <c r="E148" s="210">
        <v>0.34</v>
      </c>
      <c r="F148" s="210">
        <v>0.34</v>
      </c>
      <c r="G148" s="210">
        <v>0.34</v>
      </c>
      <c r="H148" s="210">
        <v>0.34</v>
      </c>
      <c r="I148" s="210">
        <v>0.34</v>
      </c>
      <c r="J148" s="210">
        <v>0.34</v>
      </c>
      <c r="K148" s="210">
        <v>0.34</v>
      </c>
      <c r="L148" s="210">
        <v>0.34</v>
      </c>
      <c r="M148" s="210">
        <v>0.34</v>
      </c>
      <c r="N148" s="210">
        <v>0.34</v>
      </c>
      <c r="O148" s="210">
        <v>0.34</v>
      </c>
      <c r="P148" s="210">
        <v>0.34</v>
      </c>
      <c r="Q148" s="210">
        <v>0.34</v>
      </c>
      <c r="R148" s="210">
        <v>0.34</v>
      </c>
      <c r="S148" s="210">
        <v>0.37</v>
      </c>
      <c r="T148" s="210">
        <v>0.38</v>
      </c>
      <c r="U148" s="207">
        <v>0.37</v>
      </c>
      <c r="V148" s="207">
        <v>0.34</v>
      </c>
      <c r="W148" s="207">
        <v>0.32</v>
      </c>
      <c r="X148" s="207">
        <v>0.28000000000000003</v>
      </c>
      <c r="Y148" s="56">
        <f>X148</f>
        <v>0.28000000000000003</v>
      </c>
      <c r="Z148" s="207">
        <v>0.28999999999999998</v>
      </c>
      <c r="AA148" s="207">
        <v>0.36</v>
      </c>
      <c r="AB148" s="207">
        <v>0.39</v>
      </c>
      <c r="AC148" s="207">
        <v>0.32</v>
      </c>
      <c r="AD148" s="56">
        <f>AC148</f>
        <v>0.32</v>
      </c>
      <c r="AE148" s="207">
        <v>0.28999999999999998</v>
      </c>
      <c r="AF148" s="207">
        <v>0.31</v>
      </c>
      <c r="AG148" s="207">
        <v>0.3</v>
      </c>
      <c r="AH148" s="207">
        <v>0.28999999999999998</v>
      </c>
      <c r="AI148" s="56">
        <f>AH148</f>
        <v>0.28999999999999998</v>
      </c>
      <c r="AJ148" s="207">
        <v>0.26</v>
      </c>
      <c r="AK148" s="207">
        <v>0.32</v>
      </c>
      <c r="AL148" s="207">
        <v>0.33</v>
      </c>
      <c r="AM148" s="207">
        <v>0.18</v>
      </c>
      <c r="AN148" s="56">
        <f>AM148</f>
        <v>0.18</v>
      </c>
      <c r="AO148" s="207">
        <v>0.17</v>
      </c>
      <c r="AP148" s="207">
        <v>0.33</v>
      </c>
      <c r="AQ148" s="207">
        <v>0.33</v>
      </c>
      <c r="AR148" s="207">
        <v>0.26</v>
      </c>
      <c r="AS148" s="56">
        <f>AR148</f>
        <v>0.26</v>
      </c>
      <c r="AT148" s="207">
        <v>0.24</v>
      </c>
      <c r="AU148" s="207">
        <v>0.26</v>
      </c>
      <c r="AV148" s="207">
        <v>0.3</v>
      </c>
      <c r="AW148" s="207">
        <v>0.24</v>
      </c>
      <c r="AX148" s="56">
        <f>AW148</f>
        <v>0.24</v>
      </c>
      <c r="AY148" s="58"/>
      <c r="AZ148" s="58"/>
      <c r="BA148" s="58"/>
      <c r="BB148" s="58"/>
      <c r="BC148" s="57"/>
      <c r="BD148" s="58"/>
      <c r="BE148" s="58"/>
      <c r="BF148" s="58"/>
      <c r="BG148" s="58"/>
      <c r="BH148" s="57"/>
      <c r="BI148" s="57"/>
      <c r="BJ148" s="57"/>
      <c r="BK148" s="57"/>
      <c r="BL148" s="57"/>
    </row>
    <row r="149" spans="3:64" s="41" customFormat="1" ht="12.75" customHeight="1">
      <c r="C149" s="84" t="s">
        <v>284</v>
      </c>
      <c r="E149" s="83">
        <f t="shared" ref="E149:Q149" si="679">E169/E143/E139*1000000</f>
        <v>6.3993600639936012</v>
      </c>
      <c r="F149" s="83">
        <f t="shared" si="679"/>
        <v>6.3993600639936012</v>
      </c>
      <c r="G149" s="83">
        <f t="shared" si="679"/>
        <v>6.3993600639936012</v>
      </c>
      <c r="H149" s="83">
        <f t="shared" si="679"/>
        <v>6.3993600639936012</v>
      </c>
      <c r="I149" s="83">
        <f t="shared" si="679"/>
        <v>6.3993600639936012</v>
      </c>
      <c r="J149" s="83">
        <f t="shared" si="679"/>
        <v>6.3993600639936012</v>
      </c>
      <c r="K149" s="83">
        <f t="shared" si="679"/>
        <v>6.3993600639936012</v>
      </c>
      <c r="L149" s="83">
        <f t="shared" si="679"/>
        <v>6.3993600639936012</v>
      </c>
      <c r="M149" s="83">
        <f t="shared" si="679"/>
        <v>6.3993600639936012</v>
      </c>
      <c r="N149" s="83">
        <f t="shared" si="679"/>
        <v>6.3993600639936012</v>
      </c>
      <c r="O149" s="83">
        <f t="shared" si="679"/>
        <v>6.3993600639936012</v>
      </c>
      <c r="P149" s="83">
        <f t="shared" si="679"/>
        <v>6.3993600639936012</v>
      </c>
      <c r="Q149" s="83">
        <f t="shared" si="679"/>
        <v>6.3993600639936012</v>
      </c>
      <c r="R149" s="83">
        <f t="shared" ref="R149:BL149" si="680">R169/R143/R139*1000000</f>
        <v>6.3993600639936012</v>
      </c>
      <c r="S149" s="83">
        <f t="shared" si="680"/>
        <v>6.8037542143790057</v>
      </c>
      <c r="T149" s="83">
        <f t="shared" si="680"/>
        <v>6.670315632513816</v>
      </c>
      <c r="U149" s="82">
        <f t="shared" si="680"/>
        <v>6.6088371142193436</v>
      </c>
      <c r="V149" s="82">
        <f t="shared" si="680"/>
        <v>6.8673370374562364</v>
      </c>
      <c r="W149" s="82">
        <f t="shared" si="680"/>
        <v>6.1637209652178093</v>
      </c>
      <c r="X149" s="82">
        <f t="shared" si="680"/>
        <v>5.9705769965609479</v>
      </c>
      <c r="Y149" s="83">
        <f t="shared" si="680"/>
        <v>6.4579342550120584</v>
      </c>
      <c r="Z149" s="82">
        <f t="shared" si="680"/>
        <v>5.6281242485175014</v>
      </c>
      <c r="AA149" s="82">
        <f t="shared" si="680"/>
        <v>5.6671164153221829</v>
      </c>
      <c r="AB149" s="82">
        <f t="shared" si="680"/>
        <v>4.7740875944430652</v>
      </c>
      <c r="AC149" s="82">
        <f t="shared" si="680"/>
        <v>6.097576467419886</v>
      </c>
      <c r="AD149" s="83">
        <f t="shared" si="680"/>
        <v>5.5376695023549933</v>
      </c>
      <c r="AE149" s="82">
        <f t="shared" si="680"/>
        <v>4.586685660941404</v>
      </c>
      <c r="AF149" s="82">
        <f t="shared" si="680"/>
        <v>5.4552278539570045</v>
      </c>
      <c r="AG149" s="82">
        <f t="shared" si="680"/>
        <v>4.3059964075687116</v>
      </c>
      <c r="AH149" s="82">
        <f t="shared" si="680"/>
        <v>3.0820749715878346</v>
      </c>
      <c r="AI149" s="83">
        <f t="shared" si="680"/>
        <v>4.3337469792337755</v>
      </c>
      <c r="AJ149" s="82">
        <f t="shared" si="680"/>
        <v>3.9604744648408881</v>
      </c>
      <c r="AK149" s="82">
        <f t="shared" si="680"/>
        <v>6.1474269459194684</v>
      </c>
      <c r="AL149" s="82">
        <f t="shared" si="680"/>
        <v>7.8860864779178703</v>
      </c>
      <c r="AM149" s="82">
        <f t="shared" si="680"/>
        <v>9.1000241564277609</v>
      </c>
      <c r="AN149" s="83">
        <f t="shared" si="680"/>
        <v>6.943106176070466</v>
      </c>
      <c r="AO149" s="82">
        <f t="shared" si="680"/>
        <v>10.711547359033446</v>
      </c>
      <c r="AP149" s="82">
        <f t="shared" si="680"/>
        <v>13.363249193861993</v>
      </c>
      <c r="AQ149" s="82">
        <f t="shared" si="680"/>
        <v>10.64137707932508</v>
      </c>
      <c r="AR149" s="82">
        <f t="shared" si="680"/>
        <v>8.3229610742878659</v>
      </c>
      <c r="AS149" s="83">
        <f t="shared" si="680"/>
        <v>10.805315451242661</v>
      </c>
      <c r="AT149" s="82">
        <f t="shared" si="680"/>
        <v>8.9609694541419316</v>
      </c>
      <c r="AU149" s="82">
        <f t="shared" si="680"/>
        <v>9.3729125742621058</v>
      </c>
      <c r="AV149" s="82">
        <f t="shared" si="680"/>
        <v>9.3348122604522441</v>
      </c>
      <c r="AW149" s="82">
        <f t="shared" si="680"/>
        <v>9.5639740746746398</v>
      </c>
      <c r="AX149" s="83">
        <f t="shared" si="680"/>
        <v>9.3257825756536779</v>
      </c>
      <c r="AY149" s="82">
        <f t="shared" si="680"/>
        <v>8.9609694541419316</v>
      </c>
      <c r="AZ149" s="82">
        <f t="shared" si="680"/>
        <v>8.7480517359779686</v>
      </c>
      <c r="BA149" s="82">
        <f t="shared" si="680"/>
        <v>8.4196345878588872</v>
      </c>
      <c r="BB149" s="82">
        <f t="shared" si="680"/>
        <v>8.6945218860678519</v>
      </c>
      <c r="BC149" s="83">
        <f t="shared" si="680"/>
        <v>8.6913391609316228</v>
      </c>
      <c r="BD149" s="82">
        <f t="shared" si="680"/>
        <v>8.9609694541419334</v>
      </c>
      <c r="BE149" s="82">
        <f t="shared" si="680"/>
        <v>8.7480517359779686</v>
      </c>
      <c r="BF149" s="82">
        <f t="shared" si="680"/>
        <v>8.4196345878588872</v>
      </c>
      <c r="BG149" s="82">
        <f t="shared" si="680"/>
        <v>8.6945218860678537</v>
      </c>
      <c r="BH149" s="83">
        <f t="shared" si="680"/>
        <v>8.6913391609316211</v>
      </c>
      <c r="BI149" s="83">
        <f t="shared" si="680"/>
        <v>8.6675923326230642</v>
      </c>
      <c r="BJ149" s="83">
        <f t="shared" si="680"/>
        <v>8.6913391609316193</v>
      </c>
      <c r="BK149" s="83">
        <f t="shared" si="680"/>
        <v>8.6913391609316211</v>
      </c>
      <c r="BL149" s="83">
        <f t="shared" si="680"/>
        <v>8.6913391609316211</v>
      </c>
    </row>
    <row r="150" spans="3:64" s="41" customFormat="1" ht="12.75" customHeight="1">
      <c r="C150" s="84" t="s">
        <v>283</v>
      </c>
      <c r="E150" s="83">
        <f t="shared" ref="E150:Q150" si="681">E172/E143*1000000/E139</f>
        <v>19.582657118903494</v>
      </c>
      <c r="F150" s="83">
        <f t="shared" si="681"/>
        <v>19.582657118903494</v>
      </c>
      <c r="G150" s="83">
        <f t="shared" si="681"/>
        <v>19.582657118903494</v>
      </c>
      <c r="H150" s="83">
        <f t="shared" si="681"/>
        <v>19.582657118903494</v>
      </c>
      <c r="I150" s="83">
        <f t="shared" si="681"/>
        <v>19.582657118903494</v>
      </c>
      <c r="J150" s="83">
        <f t="shared" si="681"/>
        <v>19.582657118903494</v>
      </c>
      <c r="K150" s="83">
        <f t="shared" si="681"/>
        <v>19.582657118903494</v>
      </c>
      <c r="L150" s="83">
        <f t="shared" si="681"/>
        <v>19.582657118903494</v>
      </c>
      <c r="M150" s="83">
        <f t="shared" si="681"/>
        <v>19.582657118903494</v>
      </c>
      <c r="N150" s="83">
        <f t="shared" si="681"/>
        <v>19.582657118903494</v>
      </c>
      <c r="O150" s="83">
        <f t="shared" si="681"/>
        <v>19.582657118903494</v>
      </c>
      <c r="P150" s="83">
        <f t="shared" si="681"/>
        <v>19.582657118903494</v>
      </c>
      <c r="Q150" s="83">
        <f t="shared" si="681"/>
        <v>19.582657118903494</v>
      </c>
      <c r="R150" s="83">
        <f t="shared" ref="R150:AX150" si="682">R172/R143*1000000/R139</f>
        <v>19.582657118903494</v>
      </c>
      <c r="S150" s="83">
        <f t="shared" si="682"/>
        <v>19.83415849102451</v>
      </c>
      <c r="T150" s="83">
        <f t="shared" si="682"/>
        <v>19.889668431495746</v>
      </c>
      <c r="U150" s="82">
        <f t="shared" si="682"/>
        <v>19.677998149080071</v>
      </c>
      <c r="V150" s="82">
        <f t="shared" si="682"/>
        <v>11.530343667827754</v>
      </c>
      <c r="W150" s="82">
        <f t="shared" si="682"/>
        <v>18.700102589389623</v>
      </c>
      <c r="X150" s="82">
        <f t="shared" si="682"/>
        <v>21.156609792161618</v>
      </c>
      <c r="Y150" s="83">
        <f t="shared" si="682"/>
        <v>17.448164187178037</v>
      </c>
      <c r="Z150" s="82">
        <f t="shared" si="682"/>
        <v>21.14810323685364</v>
      </c>
      <c r="AA150" s="82">
        <f t="shared" si="682"/>
        <v>24.242664665544893</v>
      </c>
      <c r="AB150" s="82">
        <f t="shared" si="682"/>
        <v>22.322085238882437</v>
      </c>
      <c r="AC150" s="82">
        <f t="shared" si="682"/>
        <v>19.563057832972138</v>
      </c>
      <c r="AD150" s="83">
        <f t="shared" si="682"/>
        <v>21.755130187823188</v>
      </c>
      <c r="AE150" s="82">
        <f t="shared" si="682"/>
        <v>20.370280435357412</v>
      </c>
      <c r="AF150" s="82">
        <f t="shared" si="682"/>
        <v>23.881775271767332</v>
      </c>
      <c r="AG150" s="82">
        <f t="shared" si="682"/>
        <v>21.119887141884632</v>
      </c>
      <c r="AH150" s="82">
        <f t="shared" si="682"/>
        <v>19.862260928010492</v>
      </c>
      <c r="AI150" s="83">
        <f t="shared" si="682"/>
        <v>21.317350005960733</v>
      </c>
      <c r="AJ150" s="82">
        <f t="shared" si="682"/>
        <v>22.525198518782553</v>
      </c>
      <c r="AK150" s="82">
        <f t="shared" si="682"/>
        <v>22.756264659456274</v>
      </c>
      <c r="AL150" s="82">
        <f t="shared" si="682"/>
        <v>23.386325417273678</v>
      </c>
      <c r="AM150" s="82">
        <f t="shared" si="682"/>
        <v>23.680744679794969</v>
      </c>
      <c r="AN150" s="83">
        <f t="shared" si="682"/>
        <v>23.143687253568221</v>
      </c>
      <c r="AO150" s="82">
        <f t="shared" si="682"/>
        <v>24.878432575819616</v>
      </c>
      <c r="AP150" s="82">
        <f t="shared" si="682"/>
        <v>25.081790794633278</v>
      </c>
      <c r="AQ150" s="82">
        <f t="shared" si="682"/>
        <v>25.076636421713889</v>
      </c>
      <c r="AR150" s="82">
        <f t="shared" si="682"/>
        <v>26.63347543772117</v>
      </c>
      <c r="AS150" s="83">
        <f t="shared" si="682"/>
        <v>25.404264656553572</v>
      </c>
      <c r="AT150" s="82">
        <f t="shared" si="682"/>
        <v>25.409872287772323</v>
      </c>
      <c r="AU150" s="82">
        <f t="shared" si="682"/>
        <v>27.38973341145482</v>
      </c>
      <c r="AV150" s="82">
        <f t="shared" si="682"/>
        <v>27.272294643282045</v>
      </c>
      <c r="AW150" s="82">
        <f t="shared" si="682"/>
        <v>28.583240700448069</v>
      </c>
      <c r="AX150" s="83">
        <f t="shared" si="682"/>
        <v>27.237625596314285</v>
      </c>
      <c r="AY150" s="82">
        <f t="shared" ref="AY150:BB152" si="683">AT150*(1+AY165)</f>
        <v>24.139378673383707</v>
      </c>
      <c r="AZ150" s="82">
        <f t="shared" si="683"/>
        <v>26.020246740882079</v>
      </c>
      <c r="BA150" s="82">
        <f t="shared" si="683"/>
        <v>25.908679911117943</v>
      </c>
      <c r="BB150" s="82">
        <f t="shared" si="683"/>
        <v>27.154078665425665</v>
      </c>
      <c r="BC150" s="83">
        <f t="shared" ref="BC150" si="684">BC172/BC143*1000000/BC139</f>
        <v>25.880003456915681</v>
      </c>
      <c r="BD150" s="82">
        <f t="shared" ref="BD150:BG152" si="685">AY150*(1+BD165)</f>
        <v>23.415197313182194</v>
      </c>
      <c r="BE150" s="82">
        <f t="shared" si="685"/>
        <v>25.239639338655618</v>
      </c>
      <c r="BF150" s="82">
        <f t="shared" si="685"/>
        <v>25.131419513784405</v>
      </c>
      <c r="BG150" s="82">
        <f t="shared" si="685"/>
        <v>26.339456305462893</v>
      </c>
      <c r="BH150" s="83">
        <f t="shared" ref="BH150" si="686">BH172/BH143*1000000/BH139</f>
        <v>25.103603353208207</v>
      </c>
      <c r="BI150" s="83">
        <f t="shared" ref="BI150:BL152" si="687">BH150*(1+BI165)</f>
        <v>25.103603353208207</v>
      </c>
      <c r="BJ150" s="83">
        <f t="shared" si="687"/>
        <v>25.103603353208207</v>
      </c>
      <c r="BK150" s="83">
        <f t="shared" si="687"/>
        <v>25.103603353208207</v>
      </c>
      <c r="BL150" s="83">
        <f t="shared" si="687"/>
        <v>25.103603353208207</v>
      </c>
    </row>
    <row r="151" spans="3:64" s="41" customFormat="1" ht="12.75" customHeight="1">
      <c r="C151" s="84" t="s">
        <v>285</v>
      </c>
      <c r="E151" s="83">
        <f t="shared" ref="E151:Q151" si="688">E178/E143*1000000/E139</f>
        <v>3.4304261881504163</v>
      </c>
      <c r="F151" s="83">
        <f t="shared" si="688"/>
        <v>3.4304261881504163</v>
      </c>
      <c r="G151" s="83">
        <f t="shared" si="688"/>
        <v>3.4304261881504163</v>
      </c>
      <c r="H151" s="83">
        <f t="shared" si="688"/>
        <v>3.4304261881504163</v>
      </c>
      <c r="I151" s="83">
        <f t="shared" si="688"/>
        <v>3.4304261881504163</v>
      </c>
      <c r="J151" s="83">
        <f t="shared" si="688"/>
        <v>3.4304261881504163</v>
      </c>
      <c r="K151" s="83">
        <f t="shared" si="688"/>
        <v>3.4304261881504163</v>
      </c>
      <c r="L151" s="83">
        <f t="shared" si="688"/>
        <v>3.4304261881504163</v>
      </c>
      <c r="M151" s="83">
        <f t="shared" si="688"/>
        <v>3.4304261881504163</v>
      </c>
      <c r="N151" s="83">
        <f t="shared" si="688"/>
        <v>3.4304261881504163</v>
      </c>
      <c r="O151" s="83">
        <f t="shared" si="688"/>
        <v>3.4304261881504163</v>
      </c>
      <c r="P151" s="83">
        <f t="shared" si="688"/>
        <v>3.4304261881504163</v>
      </c>
      <c r="Q151" s="83">
        <f t="shared" si="688"/>
        <v>3.4304261881504163</v>
      </c>
      <c r="R151" s="83">
        <f>R178/R143*1000000/R139</f>
        <v>3.4304261881504163</v>
      </c>
      <c r="S151" s="83">
        <f t="shared" ref="S151:AX151" si="689">S178/S143*1000000/S139</f>
        <v>3.7663639401026638</v>
      </c>
      <c r="T151" s="83">
        <f t="shared" si="689"/>
        <v>3.3503176245126221</v>
      </c>
      <c r="U151" s="82">
        <f t="shared" si="689"/>
        <v>3.5643166458711066</v>
      </c>
      <c r="V151" s="82">
        <f t="shared" si="689"/>
        <v>3.3064956106270764</v>
      </c>
      <c r="W151" s="82">
        <f t="shared" si="689"/>
        <v>5.8503114246135137</v>
      </c>
      <c r="X151" s="82">
        <f t="shared" si="689"/>
        <v>4.9322157797677395</v>
      </c>
      <c r="Y151" s="83">
        <f t="shared" si="689"/>
        <v>4.250494909662482</v>
      </c>
      <c r="Z151" s="82">
        <f t="shared" si="689"/>
        <v>5.4575750288654543</v>
      </c>
      <c r="AA151" s="82">
        <f t="shared" si="689"/>
        <v>6.2967960170246471</v>
      </c>
      <c r="AB151" s="82">
        <f t="shared" si="689"/>
        <v>3.4837936499989932</v>
      </c>
      <c r="AC151" s="82">
        <f t="shared" si="689"/>
        <v>4.9542808797786577</v>
      </c>
      <c r="AD151" s="83">
        <f t="shared" si="689"/>
        <v>4.9623272163960328</v>
      </c>
      <c r="AE151" s="82">
        <f t="shared" si="689"/>
        <v>5.6659058164570277</v>
      </c>
      <c r="AF151" s="82">
        <f t="shared" si="689"/>
        <v>5.6976824252439808</v>
      </c>
      <c r="AG151" s="82">
        <f t="shared" si="689"/>
        <v>5.433757371455755</v>
      </c>
      <c r="AH151" s="82">
        <f t="shared" si="689"/>
        <v>4.3377351451976933</v>
      </c>
      <c r="AI151" s="83">
        <f t="shared" si="689"/>
        <v>5.2707733531221583</v>
      </c>
      <c r="AJ151" s="82">
        <f t="shared" si="689"/>
        <v>4.5792985999722768</v>
      </c>
      <c r="AK151" s="82">
        <f t="shared" si="689"/>
        <v>4.8532317994101062</v>
      </c>
      <c r="AL151" s="82">
        <f t="shared" si="689"/>
        <v>3.6257868863990206</v>
      </c>
      <c r="AM151" s="82">
        <f t="shared" si="689"/>
        <v>10.857983368464941</v>
      </c>
      <c r="AN151" s="83">
        <f t="shared" si="689"/>
        <v>5.9700193256363479</v>
      </c>
      <c r="AO151" s="82">
        <f t="shared" si="689"/>
        <v>6.5651419297301761</v>
      </c>
      <c r="AP151" s="82">
        <f t="shared" si="689"/>
        <v>4.7285343301357816</v>
      </c>
      <c r="AQ151" s="82">
        <f t="shared" si="689"/>
        <v>5.2744216827959098</v>
      </c>
      <c r="AR151" s="82">
        <f t="shared" si="689"/>
        <v>9.3217164032024087</v>
      </c>
      <c r="AS151" s="83">
        <f t="shared" si="689"/>
        <v>6.3837699033976012</v>
      </c>
      <c r="AT151" s="82">
        <f t="shared" si="689"/>
        <v>5.7693912923927506</v>
      </c>
      <c r="AU151" s="82">
        <f t="shared" si="689"/>
        <v>5.9361779636993353</v>
      </c>
      <c r="AV151" s="82">
        <f t="shared" si="689"/>
        <v>7.3214213807468571</v>
      </c>
      <c r="AW151" s="82">
        <f t="shared" si="689"/>
        <v>4.7819870373373199</v>
      </c>
      <c r="AX151" s="83">
        <f t="shared" si="689"/>
        <v>6.0234516352663974</v>
      </c>
      <c r="AY151" s="82">
        <f t="shared" si="683"/>
        <v>5.5963095536209684</v>
      </c>
      <c r="AZ151" s="82">
        <f t="shared" si="683"/>
        <v>5.7580926247883548</v>
      </c>
      <c r="BA151" s="82">
        <f t="shared" si="683"/>
        <v>7.1017787393244509</v>
      </c>
      <c r="BB151" s="82">
        <f t="shared" si="683"/>
        <v>4.6385274262172</v>
      </c>
      <c r="BC151" s="83">
        <f t="shared" ref="BC151" si="690">BC178/BC143*1000000/BC139</f>
        <v>5.8436941326987881</v>
      </c>
      <c r="BD151" s="82">
        <f t="shared" si="685"/>
        <v>5.5963095536209684</v>
      </c>
      <c r="BE151" s="82">
        <f t="shared" si="685"/>
        <v>5.7580926247883548</v>
      </c>
      <c r="BF151" s="82">
        <f t="shared" si="685"/>
        <v>7.1017787393244509</v>
      </c>
      <c r="BG151" s="82">
        <f t="shared" si="685"/>
        <v>4.6385274262172</v>
      </c>
      <c r="BH151" s="83">
        <f t="shared" ref="BH151" si="691">BH178/BH143*1000000/BH139</f>
        <v>5.8436941326987881</v>
      </c>
      <c r="BI151" s="83">
        <f t="shared" si="687"/>
        <v>5.8436941326987881</v>
      </c>
      <c r="BJ151" s="83">
        <f t="shared" si="687"/>
        <v>5.8436941326987881</v>
      </c>
      <c r="BK151" s="83">
        <f t="shared" si="687"/>
        <v>5.8436941326987881</v>
      </c>
      <c r="BL151" s="83">
        <f t="shared" si="687"/>
        <v>5.8436941326987881</v>
      </c>
    </row>
    <row r="152" spans="3:64" s="41" customFormat="1" ht="12.75" customHeight="1">
      <c r="C152" s="84" t="s">
        <v>286</v>
      </c>
      <c r="E152" s="83">
        <f t="shared" ref="E152:Q152" si="692">E181/E143*1000000/E139</f>
        <v>1.153730780768077</v>
      </c>
      <c r="F152" s="83">
        <f t="shared" si="692"/>
        <v>1.153730780768077</v>
      </c>
      <c r="G152" s="83">
        <f t="shared" si="692"/>
        <v>1.153730780768077</v>
      </c>
      <c r="H152" s="83">
        <f t="shared" si="692"/>
        <v>1.153730780768077</v>
      </c>
      <c r="I152" s="83">
        <f t="shared" si="692"/>
        <v>1.153730780768077</v>
      </c>
      <c r="J152" s="83">
        <f t="shared" si="692"/>
        <v>1.153730780768077</v>
      </c>
      <c r="K152" s="83">
        <f t="shared" si="692"/>
        <v>1.153730780768077</v>
      </c>
      <c r="L152" s="83">
        <f t="shared" si="692"/>
        <v>1.153730780768077</v>
      </c>
      <c r="M152" s="83">
        <f t="shared" si="692"/>
        <v>1.153730780768077</v>
      </c>
      <c r="N152" s="83">
        <f t="shared" si="692"/>
        <v>1.153730780768077</v>
      </c>
      <c r="O152" s="83">
        <f t="shared" si="692"/>
        <v>1.153730780768077</v>
      </c>
      <c r="P152" s="83">
        <f t="shared" si="692"/>
        <v>1.153730780768077</v>
      </c>
      <c r="Q152" s="83">
        <f t="shared" si="692"/>
        <v>1.153730780768077</v>
      </c>
      <c r="R152" s="83">
        <f>R181/R143*1000000/R139</f>
        <v>1.153730780768077</v>
      </c>
      <c r="S152" s="83">
        <f t="shared" ref="S152:AX152" si="693">S181/S143*1000000/S139</f>
        <v>1.7313124563375146</v>
      </c>
      <c r="T152" s="83">
        <f t="shared" si="693"/>
        <v>1.4705014008041821</v>
      </c>
      <c r="U152" s="82">
        <f t="shared" si="693"/>
        <v>1.559388532568609</v>
      </c>
      <c r="V152" s="82">
        <f t="shared" si="693"/>
        <v>1.949984590882635</v>
      </c>
      <c r="W152" s="82">
        <f t="shared" si="693"/>
        <v>2.1938667842300679</v>
      </c>
      <c r="X152" s="82">
        <f t="shared" si="693"/>
        <v>2.7256981940821716</v>
      </c>
      <c r="Y152" s="83">
        <f t="shared" si="693"/>
        <v>2.0195721670219529</v>
      </c>
      <c r="Z152" s="82">
        <f t="shared" si="693"/>
        <v>3.4109843930409096</v>
      </c>
      <c r="AA152" s="82">
        <f t="shared" si="693"/>
        <v>3.3058179089379398</v>
      </c>
      <c r="AB152" s="82">
        <f t="shared" si="693"/>
        <v>1.0322351555552574</v>
      </c>
      <c r="AC152" s="82">
        <f t="shared" si="693"/>
        <v>1.2703284307124765</v>
      </c>
      <c r="AD152" s="83">
        <f t="shared" si="693"/>
        <v>2.1215746794736661</v>
      </c>
      <c r="AE152" s="82">
        <f t="shared" si="693"/>
        <v>0.40470755831835914</v>
      </c>
      <c r="AF152" s="82">
        <f t="shared" si="693"/>
        <v>1.2122728564348899</v>
      </c>
      <c r="AG152" s="82">
        <f t="shared" si="693"/>
        <v>-0.4100948959589249</v>
      </c>
      <c r="AH152" s="82">
        <f t="shared" si="693"/>
        <v>1.141509248736235</v>
      </c>
      <c r="AI152" s="83">
        <f t="shared" si="693"/>
        <v>0.55635940949622786</v>
      </c>
      <c r="AJ152" s="82">
        <f t="shared" si="693"/>
        <v>2.2277668864729994</v>
      </c>
      <c r="AK152" s="82">
        <f t="shared" si="693"/>
        <v>2.0491423153064892</v>
      </c>
      <c r="AL152" s="82">
        <f t="shared" si="693"/>
        <v>2.7193401647992657</v>
      </c>
      <c r="AM152" s="82">
        <f t="shared" si="693"/>
        <v>3.3090996932464587</v>
      </c>
      <c r="AN152" s="83">
        <f t="shared" si="693"/>
        <v>2.6036648160264249</v>
      </c>
      <c r="AO152" s="82">
        <f t="shared" si="693"/>
        <v>2.8794482147939369</v>
      </c>
      <c r="AP152" s="82">
        <f t="shared" si="693"/>
        <v>2.672649838772398</v>
      </c>
      <c r="AQ152" s="82">
        <f t="shared" si="693"/>
        <v>3.0536125531976319</v>
      </c>
      <c r="AR152" s="82">
        <f t="shared" si="693"/>
        <v>2.9962659867436314</v>
      </c>
      <c r="AS152" s="83">
        <f t="shared" si="693"/>
        <v>2.9040920462177615</v>
      </c>
      <c r="AT152" s="82">
        <f t="shared" si="693"/>
        <v>2.823319143085814</v>
      </c>
      <c r="AU152" s="82">
        <f t="shared" si="693"/>
        <v>2.3952998800892051</v>
      </c>
      <c r="AV152" s="82">
        <f t="shared" si="693"/>
        <v>2.4709797160020646</v>
      </c>
      <c r="AW152" s="82">
        <f t="shared" si="693"/>
        <v>2.7170380893962043</v>
      </c>
      <c r="AX152" s="83">
        <f t="shared" si="693"/>
        <v>2.5890274572636272</v>
      </c>
      <c r="AY152" s="82">
        <f t="shared" si="683"/>
        <v>2.823319143085814</v>
      </c>
      <c r="AZ152" s="82">
        <f t="shared" si="683"/>
        <v>2.3952998800892051</v>
      </c>
      <c r="BA152" s="82">
        <f t="shared" si="683"/>
        <v>2.4709797160020646</v>
      </c>
      <c r="BB152" s="82">
        <f t="shared" si="683"/>
        <v>2.7170380893962043</v>
      </c>
      <c r="BC152" s="83">
        <f t="shared" ref="BC152" si="694">BC181/BC143*1000000/BC139</f>
        <v>2.5891088485754805</v>
      </c>
      <c r="BD152" s="82">
        <f t="shared" si="685"/>
        <v>2.823319143085814</v>
      </c>
      <c r="BE152" s="82">
        <f t="shared" si="685"/>
        <v>2.3952998800892051</v>
      </c>
      <c r="BF152" s="82">
        <f t="shared" si="685"/>
        <v>2.4709797160020646</v>
      </c>
      <c r="BG152" s="82">
        <f t="shared" si="685"/>
        <v>2.7170380893962043</v>
      </c>
      <c r="BH152" s="83">
        <f t="shared" ref="BH152" si="695">BH181/BH143*1000000/BH139</f>
        <v>2.5891088485754805</v>
      </c>
      <c r="BI152" s="83">
        <f t="shared" si="687"/>
        <v>2.5891088485754805</v>
      </c>
      <c r="BJ152" s="83">
        <f t="shared" si="687"/>
        <v>2.5891088485754805</v>
      </c>
      <c r="BK152" s="83">
        <f t="shared" si="687"/>
        <v>2.5891088485754805</v>
      </c>
      <c r="BL152" s="83">
        <f t="shared" si="687"/>
        <v>2.5891088485754805</v>
      </c>
    </row>
    <row r="153" spans="3:64" s="41" customFormat="1" ht="12.75" customHeight="1">
      <c r="C153" s="84" t="s">
        <v>283</v>
      </c>
      <c r="E153" s="232">
        <f t="shared" ref="E153:Q153" si="696">E172/E141*1000</f>
        <v>25.307647959285106</v>
      </c>
      <c r="F153" s="232">
        <f t="shared" si="696"/>
        <v>25.307647959285106</v>
      </c>
      <c r="G153" s="232">
        <f t="shared" si="696"/>
        <v>25.307647959285106</v>
      </c>
      <c r="H153" s="232">
        <f t="shared" si="696"/>
        <v>25.307647959285106</v>
      </c>
      <c r="I153" s="232">
        <f t="shared" si="696"/>
        <v>25.307647959285106</v>
      </c>
      <c r="J153" s="232">
        <f t="shared" si="696"/>
        <v>25.307647959285106</v>
      </c>
      <c r="K153" s="232">
        <f t="shared" si="696"/>
        <v>25.307647959285106</v>
      </c>
      <c r="L153" s="232">
        <f t="shared" si="696"/>
        <v>25.307647959285106</v>
      </c>
      <c r="M153" s="232">
        <f t="shared" si="696"/>
        <v>25.307647959285106</v>
      </c>
      <c r="N153" s="232">
        <f t="shared" si="696"/>
        <v>25.307647959285106</v>
      </c>
      <c r="O153" s="232">
        <f t="shared" si="696"/>
        <v>25.307647959285106</v>
      </c>
      <c r="P153" s="232">
        <f t="shared" si="696"/>
        <v>25.307647959285106</v>
      </c>
      <c r="Q153" s="232">
        <f t="shared" si="696"/>
        <v>25.307647959285106</v>
      </c>
      <c r="R153" s="232">
        <f t="shared" ref="R153:AQ153" si="697">R172/R141*1000</f>
        <v>25.307647959285106</v>
      </c>
      <c r="S153" s="232">
        <f t="shared" si="697"/>
        <v>25.903960965547338</v>
      </c>
      <c r="T153" s="232">
        <f t="shared" si="697"/>
        <v>26.167255031013781</v>
      </c>
      <c r="U153" s="231">
        <f t="shared" si="697"/>
        <v>29.899582534130655</v>
      </c>
      <c r="V153" s="231">
        <f t="shared" si="697"/>
        <v>31.954887218045112</v>
      </c>
      <c r="W153" s="231">
        <f t="shared" si="697"/>
        <v>28.898934452696157</v>
      </c>
      <c r="X153" s="231">
        <f t="shared" si="697"/>
        <v>30.708364732479279</v>
      </c>
      <c r="Y153" s="232">
        <f t="shared" si="697"/>
        <v>30.177490759920392</v>
      </c>
      <c r="Z153" s="231">
        <f t="shared" si="697"/>
        <v>28.20104616784171</v>
      </c>
      <c r="AA153" s="231">
        <f t="shared" si="697"/>
        <v>31.473533619456365</v>
      </c>
      <c r="AB153" s="231">
        <f t="shared" si="697"/>
        <v>29.512111907198907</v>
      </c>
      <c r="AC153" s="231">
        <f t="shared" si="697"/>
        <v>28.865979381443299</v>
      </c>
      <c r="AD153" s="232">
        <f t="shared" si="697"/>
        <v>29.530922048128083</v>
      </c>
      <c r="AE153" s="231">
        <f t="shared" si="697"/>
        <v>29.948433161443873</v>
      </c>
      <c r="AF153" s="231">
        <f t="shared" si="697"/>
        <v>31.349458943348189</v>
      </c>
      <c r="AG153" s="231">
        <f t="shared" si="697"/>
        <v>27.576974564926374</v>
      </c>
      <c r="AH153" s="231">
        <f t="shared" si="697"/>
        <v>27.597145122918317</v>
      </c>
      <c r="AI153" s="232">
        <f t="shared" si="697"/>
        <v>29.002828572566827</v>
      </c>
      <c r="AJ153" s="231">
        <f t="shared" si="697"/>
        <v>30.805687203791468</v>
      </c>
      <c r="AK153" s="231">
        <f t="shared" si="697"/>
        <v>29.155727511399753</v>
      </c>
      <c r="AL153" s="231">
        <f t="shared" si="697"/>
        <v>29.261653623681525</v>
      </c>
      <c r="AM153" s="231">
        <f t="shared" si="697"/>
        <v>32.653643233994011</v>
      </c>
      <c r="AN153" s="232">
        <f t="shared" si="697"/>
        <v>30.371009490940466</v>
      </c>
      <c r="AO153" s="231">
        <f t="shared" si="697"/>
        <v>34.318398474737847</v>
      </c>
      <c r="AP153" s="231">
        <f t="shared" si="697"/>
        <v>32.511658894070621</v>
      </c>
      <c r="AQ153" s="231">
        <f t="shared" si="697"/>
        <v>31.493317838466005</v>
      </c>
      <c r="AR153" s="231">
        <f>AR172/AR141*1000</f>
        <v>35.820895522388064</v>
      </c>
      <c r="AS153" s="232">
        <f t="shared" ref="AS153:BL153" si="698">AS172/AS141*1000</f>
        <v>33.363111599780105</v>
      </c>
      <c r="AT153" s="231">
        <f t="shared" si="698"/>
        <v>33.69140625</v>
      </c>
      <c r="AU153" s="231">
        <f t="shared" si="698"/>
        <v>33.891752577319586</v>
      </c>
      <c r="AV153" s="231">
        <f t="shared" si="698"/>
        <v>33.255217051668339</v>
      </c>
      <c r="AW153" s="231">
        <f t="shared" si="698"/>
        <v>37.852619458837076</v>
      </c>
      <c r="AX153" s="232">
        <f t="shared" si="698"/>
        <v>34.582229228859894</v>
      </c>
      <c r="AY153" s="231">
        <f t="shared" si="698"/>
        <v>31.588004904501574</v>
      </c>
      <c r="AZ153" s="231">
        <f t="shared" si="698"/>
        <v>31.803630351118009</v>
      </c>
      <c r="BA153" s="231">
        <f t="shared" si="698"/>
        <v>31.211865792196402</v>
      </c>
      <c r="BB153" s="231">
        <f t="shared" si="698"/>
        <v>35.489996525517263</v>
      </c>
      <c r="BC153" s="232">
        <f t="shared" si="698"/>
        <v>32.44432958596353</v>
      </c>
      <c r="BD153" s="231">
        <f t="shared" si="698"/>
        <v>30.640364757366534</v>
      </c>
      <c r="BE153" s="231">
        <f t="shared" si="698"/>
        <v>30.849521440584468</v>
      </c>
      <c r="BF153" s="231">
        <f t="shared" si="698"/>
        <v>30.27550981843051</v>
      </c>
      <c r="BG153" s="231">
        <f t="shared" si="698"/>
        <v>34.425296629751735</v>
      </c>
      <c r="BH153" s="232">
        <f t="shared" si="698"/>
        <v>31.47099969838462</v>
      </c>
      <c r="BI153" s="232">
        <f t="shared" si="698"/>
        <v>31.492659333127644</v>
      </c>
      <c r="BJ153" s="232">
        <f t="shared" si="698"/>
        <v>31.492659333127637</v>
      </c>
      <c r="BK153" s="232">
        <f t="shared" si="698"/>
        <v>31.492659333127644</v>
      </c>
      <c r="BL153" s="232">
        <f t="shared" si="698"/>
        <v>31.492659333127644</v>
      </c>
    </row>
    <row r="154" spans="3:64" s="41" customFormat="1" ht="12.75" customHeight="1">
      <c r="C154" s="84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1"/>
      <c r="V154" s="231"/>
      <c r="W154" s="231"/>
      <c r="X154" s="231"/>
      <c r="Y154" s="232"/>
      <c r="Z154" s="231"/>
      <c r="AA154" s="231"/>
      <c r="AB154" s="231"/>
      <c r="AC154" s="231"/>
      <c r="AD154" s="232"/>
      <c r="AE154" s="231"/>
      <c r="AF154" s="231"/>
      <c r="AG154" s="231"/>
      <c r="AH154" s="231"/>
      <c r="AI154" s="232"/>
      <c r="AJ154" s="231"/>
      <c r="AK154" s="231"/>
      <c r="AL154" s="231"/>
      <c r="AM154" s="231"/>
      <c r="AN154" s="232"/>
      <c r="AO154" s="231"/>
      <c r="AP154" s="231"/>
      <c r="AQ154" s="231"/>
      <c r="AR154" s="231"/>
      <c r="AS154" s="232"/>
      <c r="AT154" s="231"/>
      <c r="AU154" s="231"/>
      <c r="AV154" s="231"/>
      <c r="AW154" s="231"/>
      <c r="AX154" s="232"/>
      <c r="AY154" s="14"/>
      <c r="AZ154" s="14"/>
      <c r="BA154" s="14"/>
      <c r="BB154" s="14"/>
      <c r="BC154" s="56"/>
      <c r="BD154" s="14"/>
      <c r="BE154" s="14"/>
      <c r="BF154" s="14"/>
      <c r="BG154" s="14"/>
      <c r="BH154" s="56"/>
      <c r="BI154" s="56"/>
      <c r="BJ154" s="56"/>
      <c r="BK154" s="56"/>
      <c r="BL154" s="56"/>
    </row>
    <row r="155" spans="3:64" s="41" customFormat="1" ht="12.75" customHeight="1">
      <c r="C155" s="41" t="s">
        <v>12</v>
      </c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14"/>
      <c r="V155" s="14"/>
      <c r="W155" s="14"/>
      <c r="X155" s="14"/>
      <c r="Y155" s="56"/>
      <c r="Z155" s="14"/>
      <c r="AA155" s="14"/>
      <c r="AB155" s="14"/>
      <c r="AC155" s="14"/>
      <c r="AD155" s="56"/>
      <c r="AE155" s="14"/>
      <c r="AF155" s="14"/>
      <c r="AG155" s="14"/>
      <c r="AH155" s="14"/>
      <c r="AI155" s="56"/>
      <c r="AJ155" s="14"/>
      <c r="AK155" s="14"/>
      <c r="AL155" s="14"/>
      <c r="AM155" s="14"/>
      <c r="AN155" s="56"/>
      <c r="AO155" s="14"/>
      <c r="AP155" s="14"/>
      <c r="AQ155" s="14"/>
      <c r="AR155" s="14"/>
      <c r="AS155" s="56"/>
      <c r="AT155" s="14"/>
      <c r="AU155" s="14"/>
      <c r="AV155" s="14"/>
      <c r="AW155" s="14"/>
      <c r="AX155" s="56"/>
      <c r="AY155" s="58"/>
      <c r="AZ155" s="58"/>
      <c r="BA155" s="58"/>
      <c r="BB155" s="58"/>
      <c r="BC155" s="57"/>
      <c r="BD155" s="58"/>
      <c r="BE155" s="58"/>
      <c r="BF155" s="58"/>
      <c r="BG155" s="58"/>
      <c r="BH155" s="57"/>
      <c r="BI155" s="57"/>
      <c r="BJ155" s="57"/>
      <c r="BK155" s="57"/>
      <c r="BL155" s="57"/>
    </row>
    <row r="156" spans="3:64" s="41" customFormat="1" ht="12.75" customHeight="1">
      <c r="C156" s="84" t="s">
        <v>276</v>
      </c>
      <c r="E156" s="56"/>
      <c r="F156" s="56">
        <f t="shared" ref="F156:Q156" si="699">F140/E140-1</f>
        <v>0</v>
      </c>
      <c r="G156" s="56">
        <f t="shared" si="699"/>
        <v>0</v>
      </c>
      <c r="H156" s="56">
        <f t="shared" si="699"/>
        <v>0</v>
      </c>
      <c r="I156" s="56">
        <f t="shared" si="699"/>
        <v>0</v>
      </c>
      <c r="J156" s="56">
        <f t="shared" si="699"/>
        <v>0</v>
      </c>
      <c r="K156" s="56">
        <f t="shared" si="699"/>
        <v>0</v>
      </c>
      <c r="L156" s="56">
        <f t="shared" si="699"/>
        <v>0</v>
      </c>
      <c r="M156" s="56">
        <f t="shared" si="699"/>
        <v>0</v>
      </c>
      <c r="N156" s="56">
        <f t="shared" si="699"/>
        <v>0</v>
      </c>
      <c r="O156" s="56">
        <f t="shared" si="699"/>
        <v>0</v>
      </c>
      <c r="P156" s="56">
        <f t="shared" si="699"/>
        <v>0</v>
      </c>
      <c r="Q156" s="56">
        <f t="shared" si="699"/>
        <v>0</v>
      </c>
      <c r="R156" s="56">
        <f>R140/Q140-1</f>
        <v>0</v>
      </c>
      <c r="S156" s="56">
        <f t="shared" ref="S156:T160" si="700">S140/R140-1</f>
        <v>1.291409320606407E-2</v>
      </c>
      <c r="T156" s="56">
        <f t="shared" si="700"/>
        <v>1.7904656319291945E-3</v>
      </c>
      <c r="U156" s="14"/>
      <c r="V156" s="14"/>
      <c r="W156" s="14"/>
      <c r="X156" s="14"/>
      <c r="Y156" s="56">
        <f t="shared" ref="Y156:AH163" si="701">Y140/T140-1</f>
        <v>-0.35512646728941655</v>
      </c>
      <c r="Z156" s="14">
        <f t="shared" si="701"/>
        <v>-0.56460312782151867</v>
      </c>
      <c r="AA156" s="14">
        <f t="shared" si="701"/>
        <v>-0.46142807545422981</v>
      </c>
      <c r="AB156" s="14">
        <f t="shared" si="701"/>
        <v>-0.19034071795857566</v>
      </c>
      <c r="AC156" s="14">
        <f t="shared" si="701"/>
        <v>2.1744841421474925E-2</v>
      </c>
      <c r="AD156" s="56">
        <f t="shared" si="701"/>
        <v>-0.34557908542334836</v>
      </c>
      <c r="AE156" s="14">
        <f t="shared" si="701"/>
        <v>0.26424043346789672</v>
      </c>
      <c r="AF156" s="14">
        <f t="shared" si="701"/>
        <v>0.29855172117409445</v>
      </c>
      <c r="AG156" s="14">
        <f t="shared" si="701"/>
        <v>0.25853206870763645</v>
      </c>
      <c r="AH156" s="14">
        <f t="shared" si="701"/>
        <v>0.11284988020802911</v>
      </c>
      <c r="AI156" s="56">
        <f t="shared" ref="AI156:AR163" si="702">AI140/AD140-1</f>
        <v>0.22767085378514462</v>
      </c>
      <c r="AJ156" s="14">
        <f t="shared" si="702"/>
        <v>8.9990772667670305E-2</v>
      </c>
      <c r="AK156" s="14">
        <f t="shared" si="702"/>
        <v>0.12404024357956045</v>
      </c>
      <c r="AL156" s="14">
        <f t="shared" si="702"/>
        <v>0.13105074514242587</v>
      </c>
      <c r="AM156" s="14">
        <f t="shared" si="702"/>
        <v>0.103874145409101</v>
      </c>
      <c r="AN156" s="56">
        <f t="shared" si="702"/>
        <v>0.11348652120353808</v>
      </c>
      <c r="AO156" s="14">
        <f t="shared" si="702"/>
        <v>7.4553332739262013E-2</v>
      </c>
      <c r="AP156" s="14">
        <f t="shared" si="702"/>
        <v>4.9179523416951199E-2</v>
      </c>
      <c r="AQ156" s="14">
        <f t="shared" si="702"/>
        <v>-2.0414630485181107E-2</v>
      </c>
      <c r="AR156" s="14">
        <f t="shared" si="702"/>
        <v>-6.8155871831950599E-2</v>
      </c>
      <c r="AS156" s="56">
        <f t="shared" ref="AS156:AX163" si="703">AS140/AN140-1</f>
        <v>4.5743982746384582E-3</v>
      </c>
      <c r="AT156" s="14">
        <f t="shared" si="703"/>
        <v>-6.1709915402963222E-2</v>
      </c>
      <c r="AU156" s="14">
        <f t="shared" si="703"/>
        <v>-1.2955670093449223E-2</v>
      </c>
      <c r="AV156" s="14">
        <f t="shared" si="703"/>
        <v>1.1101084569151931E-2</v>
      </c>
      <c r="AW156" s="14">
        <f t="shared" si="703"/>
        <v>2.1082615265242799E-2</v>
      </c>
      <c r="AX156" s="56">
        <f t="shared" si="703"/>
        <v>-9.2042895767761035E-3</v>
      </c>
      <c r="AY156" s="58"/>
      <c r="AZ156" s="58"/>
      <c r="BA156" s="58"/>
      <c r="BB156" s="58"/>
      <c r="BC156" s="56">
        <f t="shared" ref="BC156:BC163" si="704">BC140/AX140-1</f>
        <v>1.5314106482696488E-2</v>
      </c>
      <c r="BD156" s="58"/>
      <c r="BE156" s="58"/>
      <c r="BF156" s="58"/>
      <c r="BG156" s="58"/>
      <c r="BH156" s="56">
        <f t="shared" ref="BH156:BH163" si="705">BH140/BC140-1</f>
        <v>2.0000000000000018E-2</v>
      </c>
      <c r="BI156" s="57"/>
      <c r="BJ156" s="57"/>
      <c r="BK156" s="57"/>
      <c r="BL156" s="57"/>
    </row>
    <row r="157" spans="3:64" s="41" customFormat="1" ht="12.75" customHeight="1">
      <c r="C157" s="84" t="s">
        <v>268</v>
      </c>
      <c r="E157" s="56"/>
      <c r="F157" s="56">
        <f t="shared" ref="F157:Q157" si="706">F141/E141-1</f>
        <v>0</v>
      </c>
      <c r="G157" s="56">
        <f t="shared" si="706"/>
        <v>0</v>
      </c>
      <c r="H157" s="56">
        <f t="shared" si="706"/>
        <v>0</v>
      </c>
      <c r="I157" s="56">
        <f t="shared" si="706"/>
        <v>0</v>
      </c>
      <c r="J157" s="56">
        <f t="shared" si="706"/>
        <v>0</v>
      </c>
      <c r="K157" s="56">
        <f t="shared" si="706"/>
        <v>0</v>
      </c>
      <c r="L157" s="56">
        <f t="shared" si="706"/>
        <v>0</v>
      </c>
      <c r="M157" s="56">
        <f t="shared" si="706"/>
        <v>0</v>
      </c>
      <c r="N157" s="56">
        <f t="shared" si="706"/>
        <v>0</v>
      </c>
      <c r="O157" s="56">
        <f t="shared" si="706"/>
        <v>0</v>
      </c>
      <c r="P157" s="56">
        <f t="shared" si="706"/>
        <v>0</v>
      </c>
      <c r="Q157" s="56">
        <f t="shared" si="706"/>
        <v>0</v>
      </c>
      <c r="R157" s="56">
        <f>R141/Q141-1</f>
        <v>0</v>
      </c>
      <c r="S157" s="56">
        <f t="shared" si="700"/>
        <v>2.3061171746088238E-3</v>
      </c>
      <c r="T157" s="56">
        <f t="shared" si="700"/>
        <v>-5.5140131304917128E-3</v>
      </c>
      <c r="U157" s="14"/>
      <c r="V157" s="14"/>
      <c r="W157" s="14"/>
      <c r="X157" s="14"/>
      <c r="Y157" s="56">
        <f t="shared" si="701"/>
        <v>-0.50894513253156226</v>
      </c>
      <c r="Z157" s="14">
        <f t="shared" si="701"/>
        <v>-0.50389258716010388</v>
      </c>
      <c r="AA157" s="14">
        <f t="shared" si="701"/>
        <v>0.14967105263157898</v>
      </c>
      <c r="AB157" s="14">
        <f t="shared" si="701"/>
        <v>-5.3600258314497884E-2</v>
      </c>
      <c r="AC157" s="14">
        <f t="shared" si="701"/>
        <v>5.0866616428033584E-3</v>
      </c>
      <c r="AD157" s="56">
        <f t="shared" si="701"/>
        <v>-0.16790544657000117</v>
      </c>
      <c r="AE157" s="14">
        <f t="shared" si="701"/>
        <v>0.14669092563111219</v>
      </c>
      <c r="AF157" s="14">
        <f t="shared" si="701"/>
        <v>0.28428367054976489</v>
      </c>
      <c r="AG157" s="14">
        <f t="shared" si="701"/>
        <v>0.27430910951893561</v>
      </c>
      <c r="AH157" s="14">
        <f t="shared" si="701"/>
        <v>0.18181818181818188</v>
      </c>
      <c r="AI157" s="56">
        <f t="shared" si="702"/>
        <v>0.22521599062820319</v>
      </c>
      <c r="AJ157" s="14">
        <f t="shared" si="702"/>
        <v>0.17175723919079733</v>
      </c>
      <c r="AK157" s="14">
        <f t="shared" si="702"/>
        <v>0.15165499681731376</v>
      </c>
      <c r="AL157" s="14">
        <f t="shared" si="702"/>
        <v>0.18032128514056223</v>
      </c>
      <c r="AM157" s="14">
        <f t="shared" si="702"/>
        <v>0.11229183187946079</v>
      </c>
      <c r="AN157" s="56">
        <f t="shared" si="702"/>
        <v>0.15433648061830207</v>
      </c>
      <c r="AO157" s="14">
        <f t="shared" si="702"/>
        <v>6.5335138794854419E-2</v>
      </c>
      <c r="AP157" s="14">
        <f t="shared" si="702"/>
        <v>3.7031919303578853E-2</v>
      </c>
      <c r="AQ157" s="14">
        <f t="shared" si="702"/>
        <v>-2.4044459566746057E-2</v>
      </c>
      <c r="AR157" s="14">
        <f t="shared" si="702"/>
        <v>-4.4631398830742852E-2</v>
      </c>
      <c r="AS157" s="56">
        <f t="shared" si="703"/>
        <v>4.4521138912856362E-3</v>
      </c>
      <c r="AT157" s="14">
        <f t="shared" si="703"/>
        <v>-2.3832221163012424E-2</v>
      </c>
      <c r="AU157" s="14">
        <f t="shared" si="703"/>
        <v>3.3977348434377053E-2</v>
      </c>
      <c r="AV157" s="14">
        <f t="shared" si="703"/>
        <v>4.1371295758280136E-2</v>
      </c>
      <c r="AW157" s="14">
        <f t="shared" si="703"/>
        <v>3.7014925373134222E-2</v>
      </c>
      <c r="AX157" s="56">
        <f t="shared" si="703"/>
        <v>2.4360912589334704E-2</v>
      </c>
      <c r="AY157" s="58"/>
      <c r="AZ157" s="58"/>
      <c r="BA157" s="58"/>
      <c r="BB157" s="58"/>
      <c r="BC157" s="56">
        <f t="shared" si="704"/>
        <v>2.8235555126957967E-2</v>
      </c>
      <c r="BD157" s="58"/>
      <c r="BE157" s="58"/>
      <c r="BF157" s="58"/>
      <c r="BG157" s="58"/>
      <c r="BH157" s="56">
        <f t="shared" si="705"/>
        <v>2.0000000000000018E-2</v>
      </c>
      <c r="BI157" s="57"/>
      <c r="BJ157" s="57"/>
      <c r="BK157" s="57"/>
      <c r="BL157" s="57"/>
    </row>
    <row r="158" spans="3:64" s="41" customFormat="1" ht="12.75" customHeight="1">
      <c r="C158" s="84" t="s">
        <v>269</v>
      </c>
      <c r="E158" s="56"/>
      <c r="F158" s="56">
        <f t="shared" ref="F158:Q158" si="707">F142/E142-1</f>
        <v>0</v>
      </c>
      <c r="G158" s="56">
        <f t="shared" si="707"/>
        <v>0</v>
      </c>
      <c r="H158" s="56">
        <f t="shared" si="707"/>
        <v>0</v>
      </c>
      <c r="I158" s="56">
        <f t="shared" si="707"/>
        <v>0</v>
      </c>
      <c r="J158" s="56">
        <f t="shared" si="707"/>
        <v>0</v>
      </c>
      <c r="K158" s="56">
        <f t="shared" si="707"/>
        <v>0</v>
      </c>
      <c r="L158" s="56">
        <f t="shared" si="707"/>
        <v>0</v>
      </c>
      <c r="M158" s="56">
        <f t="shared" si="707"/>
        <v>0</v>
      </c>
      <c r="N158" s="56">
        <f t="shared" si="707"/>
        <v>0</v>
      </c>
      <c r="O158" s="56">
        <f t="shared" si="707"/>
        <v>0</v>
      </c>
      <c r="P158" s="56">
        <f t="shared" si="707"/>
        <v>0</v>
      </c>
      <c r="Q158" s="56">
        <f t="shared" si="707"/>
        <v>0</v>
      </c>
      <c r="R158" s="56">
        <f>R142/Q142-1</f>
        <v>0</v>
      </c>
      <c r="S158" s="56">
        <f t="shared" si="700"/>
        <v>1.291409320606407E-2</v>
      </c>
      <c r="T158" s="56">
        <f t="shared" si="700"/>
        <v>1.7904656319289725E-3</v>
      </c>
      <c r="U158" s="14"/>
      <c r="V158" s="14"/>
      <c r="W158" s="14"/>
      <c r="X158" s="14"/>
      <c r="Y158" s="56">
        <f t="shared" si="701"/>
        <v>-0.35620950294096487</v>
      </c>
      <c r="Z158" s="14">
        <f t="shared" si="701"/>
        <v>-0.54729131612911952</v>
      </c>
      <c r="AA158" s="14">
        <f t="shared" si="701"/>
        <v>-0.45188442695675657</v>
      </c>
      <c r="AB158" s="14">
        <f t="shared" si="701"/>
        <v>-0.17224277956653367</v>
      </c>
      <c r="AC158" s="14">
        <f t="shared" si="701"/>
        <v>3.1811234237676622E-2</v>
      </c>
      <c r="AD158" s="56">
        <f t="shared" si="701"/>
        <v>-0.33266651052555807</v>
      </c>
      <c r="AE158" s="14">
        <f t="shared" si="701"/>
        <v>0.2477199791029181</v>
      </c>
      <c r="AF158" s="14">
        <f t="shared" si="701"/>
        <v>0.28362704802657501</v>
      </c>
      <c r="AG158" s="14">
        <f t="shared" si="701"/>
        <v>0.2440666945334633</v>
      </c>
      <c r="AH158" s="14">
        <f t="shared" si="701"/>
        <v>0.13490649013980183</v>
      </c>
      <c r="AI158" s="56">
        <f t="shared" si="702"/>
        <v>0.22353342713904389</v>
      </c>
      <c r="AJ158" s="14">
        <f t="shared" si="702"/>
        <v>9.5153784498331229E-2</v>
      </c>
      <c r="AK158" s="14">
        <f t="shared" si="702"/>
        <v>0.13902230409895378</v>
      </c>
      <c r="AL158" s="14">
        <f t="shared" si="702"/>
        <v>0.14399313073993869</v>
      </c>
      <c r="AM158" s="14">
        <f t="shared" si="702"/>
        <v>9.0827512364248131E-2</v>
      </c>
      <c r="AN158" s="56">
        <f t="shared" si="702"/>
        <v>0.11833607899072085</v>
      </c>
      <c r="AO158" s="14">
        <f t="shared" si="702"/>
        <v>5.8572286853459943E-2</v>
      </c>
      <c r="AP158" s="14">
        <f t="shared" si="702"/>
        <v>5.2843884781269335E-2</v>
      </c>
      <c r="AQ158" s="14">
        <f t="shared" si="702"/>
        <v>-2.0583820122050733E-2</v>
      </c>
      <c r="AR158" s="14">
        <f t="shared" si="702"/>
        <v>-6.5409639905769756E-2</v>
      </c>
      <c r="AS158" s="56">
        <f t="shared" si="703"/>
        <v>3.132052117723827E-3</v>
      </c>
      <c r="AT158" s="14">
        <f t="shared" si="703"/>
        <v>-5.7415872950354441E-2</v>
      </c>
      <c r="AU158" s="14">
        <f t="shared" si="703"/>
        <v>-2.3463574766141471E-2</v>
      </c>
      <c r="AV158" s="14">
        <f t="shared" si="703"/>
        <v>2.8488367250039115E-3</v>
      </c>
      <c r="AW158" s="14">
        <f t="shared" si="703"/>
        <v>1.6284071017754531E-2</v>
      </c>
      <c r="AX158" s="56">
        <f t="shared" si="703"/>
        <v>-1.4450189072279129E-2</v>
      </c>
      <c r="AY158" s="58"/>
      <c r="AZ158" s="58"/>
      <c r="BA158" s="58"/>
      <c r="BB158" s="58"/>
      <c r="BC158" s="56">
        <f t="shared" si="704"/>
        <v>1.5283910770900633E-2</v>
      </c>
      <c r="BD158" s="58"/>
      <c r="BE158" s="58"/>
      <c r="BF158" s="58"/>
      <c r="BG158" s="58"/>
      <c r="BH158" s="56">
        <f t="shared" si="705"/>
        <v>2.0000000000000018E-2</v>
      </c>
      <c r="BI158" s="57"/>
      <c r="BJ158" s="57"/>
      <c r="BK158" s="57"/>
      <c r="BL158" s="57"/>
    </row>
    <row r="159" spans="3:64" s="41" customFormat="1" ht="12.75" customHeight="1">
      <c r="C159" s="84" t="s">
        <v>270</v>
      </c>
      <c r="E159" s="56"/>
      <c r="F159" s="56">
        <f t="shared" ref="F159:Q159" si="708">F143/E143-1</f>
        <v>0</v>
      </c>
      <c r="G159" s="56">
        <f t="shared" si="708"/>
        <v>0</v>
      </c>
      <c r="H159" s="56">
        <f t="shared" si="708"/>
        <v>0</v>
      </c>
      <c r="I159" s="56">
        <f t="shared" si="708"/>
        <v>0</v>
      </c>
      <c r="J159" s="56">
        <f t="shared" si="708"/>
        <v>0</v>
      </c>
      <c r="K159" s="56">
        <f t="shared" si="708"/>
        <v>0</v>
      </c>
      <c r="L159" s="56">
        <f t="shared" si="708"/>
        <v>0</v>
      </c>
      <c r="M159" s="56">
        <f t="shared" si="708"/>
        <v>0</v>
      </c>
      <c r="N159" s="56">
        <f t="shared" si="708"/>
        <v>0</v>
      </c>
      <c r="O159" s="56">
        <f t="shared" si="708"/>
        <v>0</v>
      </c>
      <c r="P159" s="56">
        <f t="shared" si="708"/>
        <v>0</v>
      </c>
      <c r="Q159" s="56">
        <f t="shared" si="708"/>
        <v>0</v>
      </c>
      <c r="R159" s="56">
        <f>R143/Q143-1</f>
        <v>0</v>
      </c>
      <c r="S159" s="56">
        <f t="shared" si="700"/>
        <v>1.291409320606407E-2</v>
      </c>
      <c r="T159" s="56">
        <f t="shared" si="700"/>
        <v>1.7904656319289725E-3</v>
      </c>
      <c r="U159" s="14"/>
      <c r="V159" s="14"/>
      <c r="W159" s="14"/>
      <c r="X159" s="14"/>
      <c r="Y159" s="56">
        <f t="shared" si="701"/>
        <v>-0.35620950294096487</v>
      </c>
      <c r="Z159" s="14">
        <f t="shared" si="701"/>
        <v>-0.5597653847973133</v>
      </c>
      <c r="AA159" s="14">
        <f t="shared" si="701"/>
        <v>-0.46142807545422981</v>
      </c>
      <c r="AB159" s="14">
        <f t="shared" si="701"/>
        <v>-0.19034071795857566</v>
      </c>
      <c r="AC159" s="14">
        <f t="shared" si="701"/>
        <v>2.1744841421474925E-2</v>
      </c>
      <c r="AD159" s="56">
        <f t="shared" si="701"/>
        <v>-0.34514848804553588</v>
      </c>
      <c r="AE159" s="14">
        <f t="shared" si="701"/>
        <v>0.26424043346789672</v>
      </c>
      <c r="AF159" s="14">
        <f t="shared" si="701"/>
        <v>0.29855172117409423</v>
      </c>
      <c r="AG159" s="14">
        <f t="shared" si="701"/>
        <v>0.25853206870763645</v>
      </c>
      <c r="AH159" s="14">
        <f t="shared" si="701"/>
        <v>0.11284988020802889</v>
      </c>
      <c r="AI159" s="56">
        <f t="shared" si="702"/>
        <v>0.22801727249460235</v>
      </c>
      <c r="AJ159" s="14">
        <f t="shared" si="702"/>
        <v>8.9990772667670305E-2</v>
      </c>
      <c r="AK159" s="14">
        <f t="shared" si="702"/>
        <v>0.12404024357956045</v>
      </c>
      <c r="AL159" s="14">
        <f t="shared" si="702"/>
        <v>0.13105074514242587</v>
      </c>
      <c r="AM159" s="14">
        <f t="shared" si="702"/>
        <v>0.103874145409101</v>
      </c>
      <c r="AN159" s="56">
        <f t="shared" si="702"/>
        <v>0.11340189657798327</v>
      </c>
      <c r="AO159" s="14">
        <f t="shared" si="702"/>
        <v>6.2745054357512098E-2</v>
      </c>
      <c r="AP159" s="14">
        <f t="shared" si="702"/>
        <v>4.9179523416951199E-2</v>
      </c>
      <c r="AQ159" s="14">
        <f t="shared" si="702"/>
        <v>-2.0414630485180996E-2</v>
      </c>
      <c r="AR159" s="14">
        <f t="shared" si="702"/>
        <v>-6.815587183195071E-2</v>
      </c>
      <c r="AS159" s="56">
        <f t="shared" si="703"/>
        <v>2.4766375325777634E-3</v>
      </c>
      <c r="AT159" s="14">
        <f t="shared" si="703"/>
        <v>-5.1284470018551742E-2</v>
      </c>
      <c r="AU159" s="14">
        <f t="shared" si="703"/>
        <v>-1.2955670093449223E-2</v>
      </c>
      <c r="AV159" s="14">
        <f t="shared" si="703"/>
        <v>1.1101084569151931E-2</v>
      </c>
      <c r="AW159" s="14">
        <f t="shared" si="703"/>
        <v>2.1082615265242799E-2</v>
      </c>
      <c r="AX159" s="56">
        <f t="shared" si="703"/>
        <v>-6.9638949933689132E-3</v>
      </c>
      <c r="AY159" s="165">
        <v>0.01</v>
      </c>
      <c r="AZ159" s="165">
        <v>0.01</v>
      </c>
      <c r="BA159" s="165">
        <v>0.02</v>
      </c>
      <c r="BB159" s="165">
        <v>0.02</v>
      </c>
      <c r="BC159" s="56">
        <f t="shared" si="704"/>
        <v>1.5274205251954553E-2</v>
      </c>
      <c r="BD159" s="165">
        <v>0.02</v>
      </c>
      <c r="BE159" s="165">
        <v>0.02</v>
      </c>
      <c r="BF159" s="165">
        <v>0.02</v>
      </c>
      <c r="BG159" s="165">
        <v>0.02</v>
      </c>
      <c r="BH159" s="56">
        <f t="shared" si="705"/>
        <v>2.0000000000000018E-2</v>
      </c>
      <c r="BI159" s="166">
        <v>0.02</v>
      </c>
      <c r="BJ159" s="166">
        <v>0.02</v>
      </c>
      <c r="BK159" s="166">
        <v>0.02</v>
      </c>
      <c r="BL159" s="166">
        <v>0.02</v>
      </c>
    </row>
    <row r="160" spans="3:64" s="41" customFormat="1" ht="12.75" customHeight="1">
      <c r="C160" s="41" t="s">
        <v>271</v>
      </c>
      <c r="E160" s="57"/>
      <c r="F160" s="57">
        <f t="shared" ref="F160:Q160" si="709">F144/E144-1</f>
        <v>0</v>
      </c>
      <c r="G160" s="57">
        <f t="shared" si="709"/>
        <v>0</v>
      </c>
      <c r="H160" s="57">
        <f t="shared" si="709"/>
        <v>0</v>
      </c>
      <c r="I160" s="57">
        <f t="shared" si="709"/>
        <v>0</v>
      </c>
      <c r="J160" s="57">
        <f t="shared" si="709"/>
        <v>0</v>
      </c>
      <c r="K160" s="57">
        <f t="shared" si="709"/>
        <v>0</v>
      </c>
      <c r="L160" s="57">
        <f t="shared" si="709"/>
        <v>0</v>
      </c>
      <c r="M160" s="57">
        <f t="shared" si="709"/>
        <v>0</v>
      </c>
      <c r="N160" s="57">
        <f t="shared" si="709"/>
        <v>0</v>
      </c>
      <c r="O160" s="57">
        <f t="shared" si="709"/>
        <v>0</v>
      </c>
      <c r="P160" s="57">
        <f t="shared" si="709"/>
        <v>0</v>
      </c>
      <c r="Q160" s="57">
        <f t="shared" si="709"/>
        <v>0</v>
      </c>
      <c r="R160" s="57">
        <f>R144/Q144-1</f>
        <v>0</v>
      </c>
      <c r="S160" s="57">
        <f t="shared" si="700"/>
        <v>-1.047273021730688E-2</v>
      </c>
      <c r="T160" s="57">
        <f t="shared" si="700"/>
        <v>-7.291423718844392E-3</v>
      </c>
      <c r="U160" s="58"/>
      <c r="V160" s="58"/>
      <c r="W160" s="58"/>
      <c r="X160" s="58"/>
      <c r="Y160" s="57">
        <f t="shared" si="701"/>
        <v>-0.23852531921352538</v>
      </c>
      <c r="Z160" s="58">
        <f t="shared" si="701"/>
        <v>0.13943724574238048</v>
      </c>
      <c r="AA160" s="58">
        <f t="shared" si="701"/>
        <v>1.1346657711524935</v>
      </c>
      <c r="AB160" s="58">
        <f t="shared" si="701"/>
        <v>0.16888642256939113</v>
      </c>
      <c r="AC160" s="58">
        <f t="shared" si="701"/>
        <v>-1.6303659292760786E-2</v>
      </c>
      <c r="AD160" s="57">
        <f t="shared" si="701"/>
        <v>0.27149749480162177</v>
      </c>
      <c r="AE160" s="58">
        <f t="shared" si="701"/>
        <v>-9.2980341970504976E-2</v>
      </c>
      <c r="AF160" s="58">
        <f t="shared" si="701"/>
        <v>-1.0987664481649562E-2</v>
      </c>
      <c r="AG160" s="58">
        <f t="shared" si="701"/>
        <v>1.2536065789328754E-2</v>
      </c>
      <c r="AH160" s="58">
        <f t="shared" si="701"/>
        <v>6.1974488056969701E-2</v>
      </c>
      <c r="AI160" s="57">
        <f t="shared" si="702"/>
        <v>-1.9996101963100088E-3</v>
      </c>
      <c r="AJ160" s="58">
        <f t="shared" si="702"/>
        <v>7.5015741943401659E-2</v>
      </c>
      <c r="AK160" s="58">
        <f t="shared" si="702"/>
        <v>2.4567406189846874E-2</v>
      </c>
      <c r="AL160" s="58">
        <f t="shared" si="702"/>
        <v>4.3561741336311188E-2</v>
      </c>
      <c r="AM160" s="58">
        <f t="shared" si="702"/>
        <v>7.625585312753369E-3</v>
      </c>
      <c r="AN160" s="57">
        <f t="shared" si="702"/>
        <v>3.6686532469751176E-2</v>
      </c>
      <c r="AO160" s="58">
        <f t="shared" si="702"/>
        <v>-8.5786285925041339E-3</v>
      </c>
      <c r="AP160" s="58">
        <f t="shared" si="702"/>
        <v>-1.1578194048059931E-2</v>
      </c>
      <c r="AQ160" s="58">
        <f t="shared" si="702"/>
        <v>-3.7054749841383128E-3</v>
      </c>
      <c r="AR160" s="58">
        <f t="shared" si="702"/>
        <v>2.5245072958130388E-2</v>
      </c>
      <c r="AS160" s="57">
        <f t="shared" si="703"/>
        <v>-1.2172755304429295E-4</v>
      </c>
      <c r="AT160" s="58">
        <f t="shared" si="703"/>
        <v>4.0368852726625715E-2</v>
      </c>
      <c r="AU160" s="58">
        <f t="shared" si="703"/>
        <v>4.7549048311001041E-2</v>
      </c>
      <c r="AV160" s="58">
        <f t="shared" si="703"/>
        <v>2.993786838041701E-2</v>
      </c>
      <c r="AW160" s="58">
        <f t="shared" si="703"/>
        <v>1.5603350668890625E-2</v>
      </c>
      <c r="AX160" s="57">
        <f t="shared" si="703"/>
        <v>3.3877016031663487E-2</v>
      </c>
      <c r="AY160" s="58"/>
      <c r="AZ160" s="58"/>
      <c r="BA160" s="58"/>
      <c r="BB160" s="58"/>
      <c r="BC160" s="57">
        <f t="shared" si="704"/>
        <v>1.2726552858626672E-2</v>
      </c>
      <c r="BD160" s="58"/>
      <c r="BE160" s="58"/>
      <c r="BF160" s="58"/>
      <c r="BG160" s="58"/>
      <c r="BH160" s="57">
        <f t="shared" si="705"/>
        <v>0</v>
      </c>
      <c r="BI160" s="57"/>
      <c r="BJ160" s="57"/>
      <c r="BK160" s="57"/>
      <c r="BL160" s="57"/>
    </row>
    <row r="161" spans="3:67" s="41" customFormat="1" ht="12.75" customHeight="1">
      <c r="C161" s="41" t="s">
        <v>272</v>
      </c>
      <c r="E161" s="166"/>
      <c r="F161" s="166">
        <f t="shared" ref="F161:Q161" si="710">40.18/40.74-1</f>
        <v>-1.3745704467354014E-2</v>
      </c>
      <c r="G161" s="166">
        <f t="shared" si="710"/>
        <v>-1.3745704467354014E-2</v>
      </c>
      <c r="H161" s="166">
        <f t="shared" si="710"/>
        <v>-1.3745704467354014E-2</v>
      </c>
      <c r="I161" s="166">
        <f t="shared" si="710"/>
        <v>-1.3745704467354014E-2</v>
      </c>
      <c r="J161" s="166">
        <f t="shared" si="710"/>
        <v>-1.3745704467354014E-2</v>
      </c>
      <c r="K161" s="166">
        <f t="shared" si="710"/>
        <v>-1.3745704467354014E-2</v>
      </c>
      <c r="L161" s="166">
        <f t="shared" si="710"/>
        <v>-1.3745704467354014E-2</v>
      </c>
      <c r="M161" s="166">
        <f t="shared" si="710"/>
        <v>-1.3745704467354014E-2</v>
      </c>
      <c r="N161" s="166">
        <f t="shared" si="710"/>
        <v>-1.3745704467354014E-2</v>
      </c>
      <c r="O161" s="166">
        <f t="shared" si="710"/>
        <v>-1.3745704467354014E-2</v>
      </c>
      <c r="P161" s="166">
        <f t="shared" si="710"/>
        <v>-1.3745704467354014E-2</v>
      </c>
      <c r="Q161" s="166">
        <f t="shared" si="710"/>
        <v>-1.3745704467354014E-2</v>
      </c>
      <c r="R161" s="166">
        <f>40.18/40.74-1</f>
        <v>-1.3745704467354014E-2</v>
      </c>
      <c r="S161" s="166">
        <f>43.49/42.35-1</f>
        <v>2.6918536009445049E-2</v>
      </c>
      <c r="T161" s="166">
        <f>43.73/43.49-1</f>
        <v>5.5185100022991929E-3</v>
      </c>
      <c r="U161" s="58"/>
      <c r="V161" s="58"/>
      <c r="W161" s="58"/>
      <c r="X161" s="58"/>
      <c r="Y161" s="57">
        <f t="shared" si="701"/>
        <v>-8.646904499599839E-2</v>
      </c>
      <c r="Z161" s="58">
        <f t="shared" si="701"/>
        <v>1.8801109452096787E-2</v>
      </c>
      <c r="AA161" s="58">
        <f t="shared" si="701"/>
        <v>0.4819053674561542</v>
      </c>
      <c r="AB161" s="58">
        <f t="shared" si="701"/>
        <v>0.30304513696441093</v>
      </c>
      <c r="AC161" s="58">
        <f t="shared" si="701"/>
        <v>0.18292296330207858</v>
      </c>
      <c r="AD161" s="57">
        <f t="shared" si="701"/>
        <v>0.21784325567598573</v>
      </c>
      <c r="AE161" s="58">
        <f t="shared" si="701"/>
        <v>0.11119179537050061</v>
      </c>
      <c r="AF161" s="58">
        <f t="shared" si="701"/>
        <v>0.22890363379735956</v>
      </c>
      <c r="AG161" s="58">
        <f t="shared" si="701"/>
        <v>0.17962362269591181</v>
      </c>
      <c r="AH161" s="58">
        <f t="shared" si="701"/>
        <v>0.11836612999403684</v>
      </c>
      <c r="AI161" s="57">
        <f t="shared" si="702"/>
        <v>0.16715770518343209</v>
      </c>
      <c r="AJ161" s="58">
        <f t="shared" si="702"/>
        <v>0.13069027479010087</v>
      </c>
      <c r="AK161" s="58">
        <f t="shared" si="702"/>
        <v>-9.6896458397329743E-3</v>
      </c>
      <c r="AL161" s="58">
        <f t="shared" si="702"/>
        <v>-5.8837441625779641E-2</v>
      </c>
      <c r="AM161" s="58">
        <f t="shared" si="702"/>
        <v>-7.6857683238462648E-4</v>
      </c>
      <c r="AN161" s="57">
        <f t="shared" si="702"/>
        <v>2.3688799955956519E-4</v>
      </c>
      <c r="AO161" s="58">
        <f t="shared" si="702"/>
        <v>-2.2466042879782377E-2</v>
      </c>
      <c r="AP161" s="58">
        <f t="shared" si="702"/>
        <v>-4.2697139105330795E-2</v>
      </c>
      <c r="AQ161" s="58">
        <f t="shared" si="702"/>
        <v>-3.8296709608416246E-2</v>
      </c>
      <c r="AR161" s="58">
        <f t="shared" si="702"/>
        <v>-8.5192769660930034E-3</v>
      </c>
      <c r="AS161" s="57">
        <f t="shared" si="703"/>
        <v>-3.0116557346491435E-2</v>
      </c>
      <c r="AT161" s="58">
        <f t="shared" si="703"/>
        <v>2.4847094801225822E-3</v>
      </c>
      <c r="AU161" s="58">
        <f t="shared" si="703"/>
        <v>-1.4035731306594301E-2</v>
      </c>
      <c r="AV161" s="58">
        <f t="shared" si="703"/>
        <v>1.7220954515693832E-2</v>
      </c>
      <c r="AW161" s="58">
        <f t="shared" si="703"/>
        <v>4.597623732526257E-3</v>
      </c>
      <c r="AX161" s="57">
        <f t="shared" si="703"/>
        <v>3.9169334162769687E-3</v>
      </c>
      <c r="AY161" s="165">
        <v>0.01</v>
      </c>
      <c r="AZ161" s="165">
        <v>0.01</v>
      </c>
      <c r="BA161" s="165">
        <v>0.01</v>
      </c>
      <c r="BB161" s="165">
        <v>0.01</v>
      </c>
      <c r="BC161" s="57">
        <f t="shared" si="704"/>
        <v>1.0117017832467212E-2</v>
      </c>
      <c r="BD161" s="165">
        <v>0</v>
      </c>
      <c r="BE161" s="165">
        <v>0</v>
      </c>
      <c r="BF161" s="165">
        <v>0</v>
      </c>
      <c r="BG161" s="165">
        <v>0</v>
      </c>
      <c r="BH161" s="57">
        <f t="shared" si="705"/>
        <v>0</v>
      </c>
      <c r="BI161" s="166">
        <v>0</v>
      </c>
      <c r="BJ161" s="166">
        <v>0</v>
      </c>
      <c r="BK161" s="166">
        <v>0</v>
      </c>
      <c r="BL161" s="166">
        <v>0</v>
      </c>
    </row>
    <row r="162" spans="3:67" s="84" customFormat="1" ht="12.75" customHeight="1">
      <c r="C162" s="84" t="s">
        <v>273</v>
      </c>
      <c r="E162" s="109"/>
      <c r="F162" s="109">
        <f t="shared" ref="F162:Q162" si="711">F146/E146-1</f>
        <v>0</v>
      </c>
      <c r="G162" s="109">
        <f t="shared" si="711"/>
        <v>0</v>
      </c>
      <c r="H162" s="109">
        <f t="shared" si="711"/>
        <v>0</v>
      </c>
      <c r="I162" s="109">
        <f t="shared" si="711"/>
        <v>0</v>
      </c>
      <c r="J162" s="109">
        <f t="shared" si="711"/>
        <v>0</v>
      </c>
      <c r="K162" s="109">
        <f t="shared" si="711"/>
        <v>0</v>
      </c>
      <c r="L162" s="109">
        <f t="shared" si="711"/>
        <v>0</v>
      </c>
      <c r="M162" s="109">
        <f t="shared" si="711"/>
        <v>0</v>
      </c>
      <c r="N162" s="109">
        <f t="shared" si="711"/>
        <v>0</v>
      </c>
      <c r="O162" s="109">
        <f t="shared" si="711"/>
        <v>0</v>
      </c>
      <c r="P162" s="109">
        <f t="shared" si="711"/>
        <v>0</v>
      </c>
      <c r="Q162" s="109">
        <f t="shared" si="711"/>
        <v>0</v>
      </c>
      <c r="R162" s="109">
        <f>R146/Q146-1</f>
        <v>0</v>
      </c>
      <c r="S162" s="109">
        <f t="shared" ref="S162:T163" si="712">S146/R146-1</f>
        <v>3.5953094347993764E-2</v>
      </c>
      <c r="T162" s="109">
        <f t="shared" si="712"/>
        <v>-4.8715544408634792E-2</v>
      </c>
      <c r="U162" s="110"/>
      <c r="V162" s="110"/>
      <c r="W162" s="110"/>
      <c r="X162" s="110"/>
      <c r="Y162" s="109">
        <f t="shared" si="701"/>
        <v>-0.30319906229266735</v>
      </c>
      <c r="Z162" s="110">
        <f t="shared" si="701"/>
        <v>0.14810322758466055</v>
      </c>
      <c r="AA162" s="110">
        <f t="shared" si="701"/>
        <v>2.1633726639958106</v>
      </c>
      <c r="AB162" s="110">
        <f t="shared" si="701"/>
        <v>0.5231117685927722</v>
      </c>
      <c r="AC162" s="110">
        <f t="shared" si="701"/>
        <v>0.1636369903388184</v>
      </c>
      <c r="AD162" s="109">
        <f t="shared" si="701"/>
        <v>0.54746644312536996</v>
      </c>
      <c r="AE162" s="110">
        <f t="shared" si="701"/>
        <v>7.8728022421319377E-3</v>
      </c>
      <c r="AF162" s="110">
        <f t="shared" si="701"/>
        <v>0.21540085298891465</v>
      </c>
      <c r="AG162" s="110">
        <f t="shared" si="701"/>
        <v>0.19441146203667414</v>
      </c>
      <c r="AH162" s="110">
        <f t="shared" si="701"/>
        <v>0.18767629836067212</v>
      </c>
      <c r="AI162" s="109">
        <f t="shared" si="702"/>
        <v>0.16449525263655818</v>
      </c>
      <c r="AJ162" s="110">
        <f t="shared" si="702"/>
        <v>0.215509844661669</v>
      </c>
      <c r="AK162" s="110">
        <f t="shared" si="702"/>
        <v>1.463971088493321E-2</v>
      </c>
      <c r="AL162" s="110">
        <f t="shared" si="702"/>
        <v>-1.7838761702461015E-2</v>
      </c>
      <c r="AM162" s="110">
        <f t="shared" si="702"/>
        <v>6.8511476321639897E-3</v>
      </c>
      <c r="AN162" s="109">
        <f t="shared" si="702"/>
        <v>3.7010923572775356E-2</v>
      </c>
      <c r="AO162" s="110">
        <f t="shared" si="702"/>
        <v>-2.0083631897083176E-2</v>
      </c>
      <c r="AP162" s="110">
        <f t="shared" si="702"/>
        <v>-5.3780977391532203E-2</v>
      </c>
      <c r="AQ162" s="110">
        <f t="shared" si="702"/>
        <v>-4.1860277093125897E-2</v>
      </c>
      <c r="AR162" s="110">
        <f t="shared" si="702"/>
        <v>1.6510726223477823E-2</v>
      </c>
      <c r="AS162" s="109">
        <f t="shared" si="703"/>
        <v>-2.8205309004205925E-2</v>
      </c>
      <c r="AT162" s="110">
        <f t="shared" si="703"/>
        <v>3.1492835571469868E-2</v>
      </c>
      <c r="AU162" s="110">
        <f t="shared" si="703"/>
        <v>3.2845931338429057E-2</v>
      </c>
      <c r="AV162" s="110">
        <f t="shared" si="703"/>
        <v>4.7674381565786961E-2</v>
      </c>
      <c r="AW162" s="110">
        <f t="shared" si="703"/>
        <v>2.0272712736759235E-2</v>
      </c>
      <c r="AX162" s="109">
        <f t="shared" si="703"/>
        <v>3.5584971073450822E-2</v>
      </c>
      <c r="AY162" s="110"/>
      <c r="AZ162" s="110"/>
      <c r="BA162" s="110"/>
      <c r="BB162" s="110"/>
      <c r="BC162" s="109">
        <f t="shared" si="704"/>
        <v>2.3012529227413259E-2</v>
      </c>
      <c r="BD162" s="110"/>
      <c r="BE162" s="110"/>
      <c r="BF162" s="110"/>
      <c r="BG162" s="110"/>
      <c r="BH162" s="109">
        <f t="shared" si="705"/>
        <v>0</v>
      </c>
      <c r="BI162" s="109"/>
      <c r="BJ162" s="109"/>
      <c r="BK162" s="109"/>
      <c r="BL162" s="109"/>
    </row>
    <row r="163" spans="3:67" s="41" customFormat="1" ht="12.75" customHeight="1">
      <c r="C163" s="84" t="s">
        <v>274</v>
      </c>
      <c r="E163" s="109"/>
      <c r="F163" s="109">
        <f t="shared" ref="F163:Q163" si="713">F147/E147-1</f>
        <v>0</v>
      </c>
      <c r="G163" s="109">
        <f t="shared" si="713"/>
        <v>0</v>
      </c>
      <c r="H163" s="109">
        <f t="shared" si="713"/>
        <v>0</v>
      </c>
      <c r="I163" s="109">
        <f t="shared" si="713"/>
        <v>0</v>
      </c>
      <c r="J163" s="109">
        <f t="shared" si="713"/>
        <v>0</v>
      </c>
      <c r="K163" s="109">
        <f t="shared" si="713"/>
        <v>0</v>
      </c>
      <c r="L163" s="109">
        <f t="shared" si="713"/>
        <v>0</v>
      </c>
      <c r="M163" s="109">
        <f t="shared" si="713"/>
        <v>0</v>
      </c>
      <c r="N163" s="109">
        <f t="shared" si="713"/>
        <v>0</v>
      </c>
      <c r="O163" s="109">
        <f t="shared" si="713"/>
        <v>0</v>
      </c>
      <c r="P163" s="109">
        <f t="shared" si="713"/>
        <v>0</v>
      </c>
      <c r="Q163" s="109">
        <f t="shared" si="713"/>
        <v>0</v>
      </c>
      <c r="R163" s="109">
        <f>R147/Q147-1</f>
        <v>0</v>
      </c>
      <c r="S163" s="109">
        <f t="shared" si="712"/>
        <v>6.3192904656319326E-2</v>
      </c>
      <c r="T163" s="109">
        <f t="shared" si="712"/>
        <v>-1.9612492994409148E-2</v>
      </c>
      <c r="U163" s="14"/>
      <c r="V163" s="14"/>
      <c r="W163" s="14"/>
      <c r="X163" s="14"/>
      <c r="Y163" s="109">
        <f t="shared" si="701"/>
        <v>-2.9187285529801876E-2</v>
      </c>
      <c r="Z163" s="110">
        <f t="shared" si="701"/>
        <v>-0.18096000791606948</v>
      </c>
      <c r="AA163" s="110">
        <f t="shared" si="701"/>
        <v>-0.18914100182046811</v>
      </c>
      <c r="AB163" s="110">
        <f t="shared" si="701"/>
        <v>-0.24238819235017084</v>
      </c>
      <c r="AC163" s="110">
        <f t="shared" si="701"/>
        <v>1.1307326616295743E-2</v>
      </c>
      <c r="AD163" s="109">
        <f t="shared" si="701"/>
        <v>-0.16083935718402553</v>
      </c>
      <c r="AE163" s="110">
        <f t="shared" si="701"/>
        <v>-0.22282484376489708</v>
      </c>
      <c r="AF163" s="110">
        <f t="shared" si="701"/>
        <v>-4.7836967831704214E-2</v>
      </c>
      <c r="AG163" s="110">
        <f t="shared" si="701"/>
        <v>-4.4111385334412168E-2</v>
      </c>
      <c r="AH163" s="110">
        <f t="shared" si="701"/>
        <v>-0.48600758000645827</v>
      </c>
      <c r="AI163" s="109">
        <f t="shared" si="702"/>
        <v>-0.21453804226163786</v>
      </c>
      <c r="AJ163" s="110">
        <f t="shared" si="702"/>
        <v>-0.11542103610246346</v>
      </c>
      <c r="AK163" s="110">
        <f t="shared" si="702"/>
        <v>0.11738573349016956</v>
      </c>
      <c r="AL163" s="110">
        <f t="shared" si="702"/>
        <v>0.66879578014258012</v>
      </c>
      <c r="AM163" s="110">
        <f t="shared" si="702"/>
        <v>1.8484272920550637</v>
      </c>
      <c r="AN163" s="109">
        <f t="shared" si="702"/>
        <v>0.5587829776684754</v>
      </c>
      <c r="AO163" s="110">
        <f t="shared" si="702"/>
        <v>1.7121130768209096</v>
      </c>
      <c r="AP163" s="110">
        <f t="shared" si="702"/>
        <v>1.1370689734000239</v>
      </c>
      <c r="AQ163" s="110">
        <f t="shared" si="702"/>
        <v>0.33704530967315338</v>
      </c>
      <c r="AR163" s="110">
        <f t="shared" si="702"/>
        <v>-0.11449310603512952</v>
      </c>
      <c r="AS163" s="109">
        <f t="shared" si="703"/>
        <v>0.53395526209534161</v>
      </c>
      <c r="AT163" s="110">
        <f t="shared" si="703"/>
        <v>-0.12981271850133469</v>
      </c>
      <c r="AU163" s="110">
        <f t="shared" si="703"/>
        <v>-0.3173151052639791</v>
      </c>
      <c r="AV163" s="110">
        <f t="shared" si="703"/>
        <v>-0.16601225854243118</v>
      </c>
      <c r="AW163" s="110">
        <f t="shared" si="703"/>
        <v>9.3307612308035637E-2</v>
      </c>
      <c r="AX163" s="109">
        <f t="shared" si="703"/>
        <v>-0.15913396152021408</v>
      </c>
      <c r="AY163" s="165">
        <v>0</v>
      </c>
      <c r="AZ163" s="165">
        <v>0</v>
      </c>
      <c r="BA163" s="165">
        <v>0</v>
      </c>
      <c r="BB163" s="165">
        <v>0</v>
      </c>
      <c r="BC163" s="109">
        <f t="shared" si="704"/>
        <v>-5.5105024782786671E-5</v>
      </c>
      <c r="BD163" s="165">
        <v>0</v>
      </c>
      <c r="BE163" s="165">
        <v>0</v>
      </c>
      <c r="BF163" s="165">
        <v>0</v>
      </c>
      <c r="BG163" s="165">
        <v>0</v>
      </c>
      <c r="BH163" s="109">
        <f t="shared" si="705"/>
        <v>0</v>
      </c>
      <c r="BI163" s="166">
        <v>0</v>
      </c>
      <c r="BJ163" s="166">
        <v>0</v>
      </c>
      <c r="BK163" s="166">
        <v>0</v>
      </c>
      <c r="BL163" s="166">
        <v>0</v>
      </c>
    </row>
    <row r="164" spans="3:67" s="41" customFormat="1" ht="12.75" customHeight="1">
      <c r="C164" s="84" t="s">
        <v>284</v>
      </c>
      <c r="E164" s="109"/>
      <c r="F164" s="109">
        <f t="shared" ref="F164:Q164" si="714">F149/E149-1</f>
        <v>0</v>
      </c>
      <c r="G164" s="109">
        <f t="shared" si="714"/>
        <v>0</v>
      </c>
      <c r="H164" s="109">
        <f t="shared" si="714"/>
        <v>0</v>
      </c>
      <c r="I164" s="109">
        <f t="shared" si="714"/>
        <v>0</v>
      </c>
      <c r="J164" s="109">
        <f t="shared" si="714"/>
        <v>0</v>
      </c>
      <c r="K164" s="109">
        <f t="shared" si="714"/>
        <v>0</v>
      </c>
      <c r="L164" s="109">
        <f t="shared" si="714"/>
        <v>0</v>
      </c>
      <c r="M164" s="109">
        <f t="shared" si="714"/>
        <v>0</v>
      </c>
      <c r="N164" s="109">
        <f t="shared" si="714"/>
        <v>0</v>
      </c>
      <c r="O164" s="109">
        <f t="shared" si="714"/>
        <v>0</v>
      </c>
      <c r="P164" s="109">
        <f t="shared" si="714"/>
        <v>0</v>
      </c>
      <c r="Q164" s="109">
        <f t="shared" si="714"/>
        <v>0</v>
      </c>
      <c r="R164" s="109">
        <f>R149/Q149-1</f>
        <v>0</v>
      </c>
      <c r="S164" s="109">
        <f t="shared" ref="S164:T165" si="715">S149/R149-1</f>
        <v>6.3192904656319326E-2</v>
      </c>
      <c r="T164" s="109">
        <f t="shared" si="715"/>
        <v>-1.9612492994409148E-2</v>
      </c>
      <c r="U164" s="14"/>
      <c r="V164" s="14"/>
      <c r="W164" s="14"/>
      <c r="X164" s="14"/>
      <c r="Y164" s="109">
        <f t="shared" ref="Y164:AH167" si="716">Y149/T149-1</f>
        <v>-3.1839779285184777E-2</v>
      </c>
      <c r="Z164" s="110">
        <f t="shared" si="716"/>
        <v>-0.14839416507811554</v>
      </c>
      <c r="AA164" s="110">
        <f t="shared" si="716"/>
        <v>-0.17477234852283197</v>
      </c>
      <c r="AB164" s="110">
        <f t="shared" si="716"/>
        <v>-0.22545364701233495</v>
      </c>
      <c r="AC164" s="110">
        <f t="shared" si="716"/>
        <v>2.127088737522187E-2</v>
      </c>
      <c r="AD164" s="109">
        <f t="shared" si="716"/>
        <v>-0.14250141242036329</v>
      </c>
      <c r="AE164" s="110">
        <f t="shared" si="716"/>
        <v>-0.18504186147816859</v>
      </c>
      <c r="AF164" s="110">
        <f t="shared" si="716"/>
        <v>-3.7389131585914726E-2</v>
      </c>
      <c r="AG164" s="110">
        <f t="shared" si="716"/>
        <v>-9.8048302971902257E-2</v>
      </c>
      <c r="AH164" s="110">
        <f t="shared" si="716"/>
        <v>-0.49454098885749986</v>
      </c>
      <c r="AI164" s="109">
        <f t="shared" ref="AI164:AR167" si="717">AI149/AD149-1</f>
        <v>-0.21740599048195786</v>
      </c>
      <c r="AJ164" s="110">
        <f t="shared" si="717"/>
        <v>-0.13652803841194294</v>
      </c>
      <c r="AK164" s="110">
        <f t="shared" si="717"/>
        <v>0.12688729242727592</v>
      </c>
      <c r="AL164" s="110">
        <f t="shared" si="717"/>
        <v>0.83141966028034364</v>
      </c>
      <c r="AM164" s="110">
        <f t="shared" si="717"/>
        <v>1.9525641784565599</v>
      </c>
      <c r="AN164" s="109">
        <f t="shared" si="717"/>
        <v>0.60210233992433859</v>
      </c>
      <c r="AO164" s="110">
        <f t="shared" si="717"/>
        <v>1.70461215041915</v>
      </c>
      <c r="AP164" s="110">
        <f t="shared" si="717"/>
        <v>1.1737955263921003</v>
      </c>
      <c r="AQ164" s="110">
        <f t="shared" si="717"/>
        <v>0.34938630322180764</v>
      </c>
      <c r="AR164" s="110">
        <f t="shared" si="717"/>
        <v>-8.5391320812156279E-2</v>
      </c>
      <c r="AS164" s="109">
        <f t="shared" ref="AS164:AX167" si="718">AS149/AN149-1</f>
        <v>0.55626533387655308</v>
      </c>
      <c r="AT164" s="110">
        <f t="shared" si="718"/>
        <v>-0.16342904028848704</v>
      </c>
      <c r="AU164" s="110">
        <f t="shared" si="718"/>
        <v>-0.2986052689515607</v>
      </c>
      <c r="AV164" s="110">
        <f t="shared" si="718"/>
        <v>-0.12278155441097327</v>
      </c>
      <c r="AW164" s="110">
        <f t="shared" si="718"/>
        <v>0.14910714940391068</v>
      </c>
      <c r="AX164" s="109">
        <f t="shared" si="718"/>
        <v>-0.1369263935204067</v>
      </c>
      <c r="AY164" s="110"/>
      <c r="AZ164" s="110"/>
      <c r="BA164" s="110"/>
      <c r="BB164" s="110"/>
      <c r="BC164" s="109">
        <f>BC149/AX149-1</f>
        <v>-6.8031117986640854E-2</v>
      </c>
      <c r="BD164" s="110"/>
      <c r="BE164" s="110"/>
      <c r="BF164" s="110"/>
      <c r="BG164" s="110"/>
      <c r="BH164" s="109">
        <f>BH149/BC149-1</f>
        <v>0</v>
      </c>
      <c r="BI164" s="109"/>
      <c r="BJ164" s="109"/>
      <c r="BK164" s="109"/>
      <c r="BL164" s="109"/>
    </row>
    <row r="165" spans="3:67" s="41" customFormat="1" ht="12.75" customHeight="1">
      <c r="C165" s="84" t="s">
        <v>283</v>
      </c>
      <c r="E165" s="109"/>
      <c r="F165" s="109">
        <f t="shared" ref="F165:Q165" si="719">F150/E150-1</f>
        <v>0</v>
      </c>
      <c r="G165" s="109">
        <f t="shared" si="719"/>
        <v>0</v>
      </c>
      <c r="H165" s="109">
        <f t="shared" si="719"/>
        <v>0</v>
      </c>
      <c r="I165" s="109">
        <f t="shared" si="719"/>
        <v>0</v>
      </c>
      <c r="J165" s="109">
        <f t="shared" si="719"/>
        <v>0</v>
      </c>
      <c r="K165" s="109">
        <f t="shared" si="719"/>
        <v>0</v>
      </c>
      <c r="L165" s="109">
        <f t="shared" si="719"/>
        <v>0</v>
      </c>
      <c r="M165" s="109">
        <f t="shared" si="719"/>
        <v>0</v>
      </c>
      <c r="N165" s="109">
        <f t="shared" si="719"/>
        <v>0</v>
      </c>
      <c r="O165" s="109">
        <f t="shared" si="719"/>
        <v>0</v>
      </c>
      <c r="P165" s="109">
        <f t="shared" si="719"/>
        <v>0</v>
      </c>
      <c r="Q165" s="109">
        <f t="shared" si="719"/>
        <v>0</v>
      </c>
      <c r="R165" s="109">
        <f>R150/Q150-1</f>
        <v>0</v>
      </c>
      <c r="S165" s="109">
        <f t="shared" si="715"/>
        <v>1.2843066729603114E-2</v>
      </c>
      <c r="T165" s="109">
        <f t="shared" si="715"/>
        <v>2.7987040890267156E-3</v>
      </c>
      <c r="U165" s="14"/>
      <c r="V165" s="14"/>
      <c r="W165" s="14"/>
      <c r="X165" s="14"/>
      <c r="Y165" s="109">
        <f t="shared" si="716"/>
        <v>-0.12275238537669797</v>
      </c>
      <c r="Z165" s="110">
        <f t="shared" si="716"/>
        <v>7.4708061086096622E-2</v>
      </c>
      <c r="AA165" s="110">
        <f t="shared" si="716"/>
        <v>1.102510156153226</v>
      </c>
      <c r="AB165" s="110">
        <f t="shared" si="716"/>
        <v>0.1936878491537215</v>
      </c>
      <c r="AC165" s="110">
        <f t="shared" si="716"/>
        <v>-7.5321706778364805E-2</v>
      </c>
      <c r="AD165" s="109">
        <f t="shared" si="716"/>
        <v>0.24684350482041939</v>
      </c>
      <c r="AE165" s="110">
        <f t="shared" si="716"/>
        <v>-3.6779790262266077E-2</v>
      </c>
      <c r="AF165" s="110">
        <f t="shared" si="716"/>
        <v>-1.4886539856754255E-2</v>
      </c>
      <c r="AG165" s="110">
        <f t="shared" si="716"/>
        <v>-5.3856890345697517E-2</v>
      </c>
      <c r="AH165" s="110">
        <f t="shared" si="716"/>
        <v>1.5294290779740427E-2</v>
      </c>
      <c r="AI165" s="109">
        <f t="shared" si="717"/>
        <v>-2.0123078008859263E-2</v>
      </c>
      <c r="AJ165" s="110">
        <f t="shared" si="717"/>
        <v>0.1057873547820567</v>
      </c>
      <c r="AK165" s="110">
        <f t="shared" si="717"/>
        <v>-4.7128431597026954E-2</v>
      </c>
      <c r="AL165" s="110">
        <f t="shared" si="717"/>
        <v>0.10731299178650811</v>
      </c>
      <c r="AM165" s="110">
        <f t="shared" si="717"/>
        <v>0.19224819196688281</v>
      </c>
      <c r="AN165" s="109">
        <f t="shared" si="717"/>
        <v>8.567374683517448E-2</v>
      </c>
      <c r="AO165" s="110">
        <f t="shared" si="717"/>
        <v>0.10447117946928763</v>
      </c>
      <c r="AP165" s="110">
        <f t="shared" si="717"/>
        <v>0.10219278822680766</v>
      </c>
      <c r="AQ165" s="110">
        <f t="shared" si="717"/>
        <v>7.2277750962607801E-2</v>
      </c>
      <c r="AR165" s="110">
        <f t="shared" si="717"/>
        <v>0.124689100695619</v>
      </c>
      <c r="AS165" s="109">
        <f t="shared" si="718"/>
        <v>9.7675766969103961E-2</v>
      </c>
      <c r="AT165" s="110">
        <f t="shared" si="718"/>
        <v>2.1361462798473729E-2</v>
      </c>
      <c r="AU165" s="110">
        <f t="shared" si="718"/>
        <v>9.201666004308473E-2</v>
      </c>
      <c r="AV165" s="110">
        <f t="shared" si="718"/>
        <v>8.7557923823744277E-2</v>
      </c>
      <c r="AW165" s="110">
        <f t="shared" si="718"/>
        <v>7.3207316382203569E-2</v>
      </c>
      <c r="AX165" s="109">
        <f t="shared" si="718"/>
        <v>7.2167447652839556E-2</v>
      </c>
      <c r="AY165" s="165">
        <v>-0.05</v>
      </c>
      <c r="AZ165" s="165">
        <v>-0.05</v>
      </c>
      <c r="BA165" s="165">
        <v>-0.05</v>
      </c>
      <c r="BB165" s="165">
        <v>-0.05</v>
      </c>
      <c r="BC165" s="109">
        <f>BC150/AX150-1</f>
        <v>-4.9843630260572813E-2</v>
      </c>
      <c r="BD165" s="165">
        <v>-0.03</v>
      </c>
      <c r="BE165" s="165">
        <v>-0.03</v>
      </c>
      <c r="BF165" s="165">
        <v>-0.03</v>
      </c>
      <c r="BG165" s="165">
        <v>-0.03</v>
      </c>
      <c r="BH165" s="109">
        <f>BH150/BC150-1</f>
        <v>-3.0000000000000138E-2</v>
      </c>
      <c r="BI165" s="166">
        <v>0</v>
      </c>
      <c r="BJ165" s="166">
        <v>0</v>
      </c>
      <c r="BK165" s="166">
        <v>0</v>
      </c>
      <c r="BL165" s="166">
        <v>0</v>
      </c>
    </row>
    <row r="166" spans="3:67" s="41" customFormat="1" ht="12.75" customHeight="1">
      <c r="C166" s="84" t="s">
        <v>285</v>
      </c>
      <c r="E166" s="210"/>
      <c r="F166" s="210" t="s">
        <v>98</v>
      </c>
      <c r="G166" s="210" t="s">
        <v>98</v>
      </c>
      <c r="H166" s="210" t="s">
        <v>98</v>
      </c>
      <c r="I166" s="210" t="s">
        <v>98</v>
      </c>
      <c r="J166" s="210" t="s">
        <v>98</v>
      </c>
      <c r="K166" s="210" t="s">
        <v>98</v>
      </c>
      <c r="L166" s="210" t="s">
        <v>98</v>
      </c>
      <c r="M166" s="210" t="s">
        <v>98</v>
      </c>
      <c r="N166" s="210" t="s">
        <v>98</v>
      </c>
      <c r="O166" s="210" t="s">
        <v>98</v>
      </c>
      <c r="P166" s="210" t="s">
        <v>98</v>
      </c>
      <c r="Q166" s="210" t="s">
        <v>98</v>
      </c>
      <c r="R166" s="210" t="s">
        <v>98</v>
      </c>
      <c r="S166" s="109">
        <f t="shared" ref="S166:T166" si="720">S151/R151-1</f>
        <v>9.7928867588716439E-2</v>
      </c>
      <c r="T166" s="109">
        <f t="shared" si="720"/>
        <v>-0.11046365200137864</v>
      </c>
      <c r="U166" s="14"/>
      <c r="V166" s="14"/>
      <c r="W166" s="14"/>
      <c r="X166" s="14"/>
      <c r="Y166" s="109">
        <f t="shared" si="716"/>
        <v>0.26868416252945893</v>
      </c>
      <c r="Z166" s="110">
        <f t="shared" si="716"/>
        <v>0.53117008703126656</v>
      </c>
      <c r="AA166" s="110">
        <f t="shared" si="716"/>
        <v>0.90437150340884931</v>
      </c>
      <c r="AB166" s="110">
        <f t="shared" si="716"/>
        <v>-0.40451141876961849</v>
      </c>
      <c r="AC166" s="110">
        <f t="shared" si="716"/>
        <v>4.4736688328663732E-3</v>
      </c>
      <c r="AD166" s="109">
        <f t="shared" si="716"/>
        <v>0.16747045270313587</v>
      </c>
      <c r="AE166" s="110">
        <f t="shared" si="716"/>
        <v>3.8172775727259634E-2</v>
      </c>
      <c r="AF166" s="110">
        <f t="shared" si="716"/>
        <v>-9.5145783690759989E-2</v>
      </c>
      <c r="AG166" s="110">
        <f t="shared" si="716"/>
        <v>0.55972423092777768</v>
      </c>
      <c r="AH166" s="110">
        <f t="shared" si="716"/>
        <v>-0.12444706901811953</v>
      </c>
      <c r="AI166" s="109">
        <f t="shared" si="717"/>
        <v>6.2157556983946538E-2</v>
      </c>
      <c r="AJ166" s="110">
        <f t="shared" si="717"/>
        <v>-0.19177996452546431</v>
      </c>
      <c r="AK166" s="110">
        <f t="shared" si="717"/>
        <v>-0.14820949340603418</v>
      </c>
      <c r="AL166" s="110">
        <f t="shared" si="717"/>
        <v>-0.33272933652765624</v>
      </c>
      <c r="AM166" s="110">
        <f t="shared" si="717"/>
        <v>1.503145767321874</v>
      </c>
      <c r="AN166" s="109">
        <f t="shared" si="717"/>
        <v>0.13266477719061642</v>
      </c>
      <c r="AO166" s="110">
        <f t="shared" si="717"/>
        <v>0.43365665863543423</v>
      </c>
      <c r="AP166" s="110">
        <f t="shared" si="717"/>
        <v>-2.5693697401694471E-2</v>
      </c>
      <c r="AQ166" s="110">
        <f t="shared" si="717"/>
        <v>0.45469710384281425</v>
      </c>
      <c r="AR166" s="110">
        <f t="shared" si="717"/>
        <v>-0.14148731980234408</v>
      </c>
      <c r="AS166" s="109">
        <f t="shared" si="718"/>
        <v>6.9304730050794516E-2</v>
      </c>
      <c r="AT166" s="110">
        <f t="shared" si="718"/>
        <v>-0.12120844390794916</v>
      </c>
      <c r="AU166" s="110">
        <f t="shared" si="718"/>
        <v>0.25539491716640983</v>
      </c>
      <c r="AV166" s="110">
        <f t="shared" si="718"/>
        <v>0.38809936350516749</v>
      </c>
      <c r="AW166" s="110">
        <f t="shared" si="718"/>
        <v>-0.4870057368732541</v>
      </c>
      <c r="AX166" s="109">
        <f t="shared" si="718"/>
        <v>-5.6442865827515676E-2</v>
      </c>
      <c r="AY166" s="165">
        <v>-0.03</v>
      </c>
      <c r="AZ166" s="165">
        <v>-0.03</v>
      </c>
      <c r="BA166" s="165">
        <v>-0.03</v>
      </c>
      <c r="BB166" s="165">
        <v>-0.03</v>
      </c>
      <c r="BC166" s="109">
        <f>BC151/AX151-1</f>
        <v>-2.9842939472636609E-2</v>
      </c>
      <c r="BD166" s="165">
        <v>0</v>
      </c>
      <c r="BE166" s="165">
        <v>0</v>
      </c>
      <c r="BF166" s="165">
        <v>0</v>
      </c>
      <c r="BG166" s="165">
        <v>0</v>
      </c>
      <c r="BH166" s="109">
        <f>BH151/BC151-1</f>
        <v>0</v>
      </c>
      <c r="BI166" s="166">
        <v>0</v>
      </c>
      <c r="BJ166" s="166">
        <v>0</v>
      </c>
      <c r="BK166" s="166">
        <v>0</v>
      </c>
      <c r="BL166" s="166">
        <v>0</v>
      </c>
    </row>
    <row r="167" spans="3:67" s="41" customFormat="1" ht="12.75" customHeight="1">
      <c r="C167" s="84" t="s">
        <v>286</v>
      </c>
      <c r="E167" s="210"/>
      <c r="F167" s="210" t="s">
        <v>98</v>
      </c>
      <c r="G167" s="210" t="s">
        <v>98</v>
      </c>
      <c r="H167" s="210" t="s">
        <v>98</v>
      </c>
      <c r="I167" s="210" t="s">
        <v>98</v>
      </c>
      <c r="J167" s="210" t="s">
        <v>98</v>
      </c>
      <c r="K167" s="210" t="s">
        <v>98</v>
      </c>
      <c r="L167" s="210" t="s">
        <v>98</v>
      </c>
      <c r="M167" s="210" t="s">
        <v>98</v>
      </c>
      <c r="N167" s="210" t="s">
        <v>98</v>
      </c>
      <c r="O167" s="210" t="s">
        <v>98</v>
      </c>
      <c r="P167" s="210" t="s">
        <v>98</v>
      </c>
      <c r="Q167" s="210" t="s">
        <v>98</v>
      </c>
      <c r="R167" s="210" t="s">
        <v>98</v>
      </c>
      <c r="S167" s="109">
        <f t="shared" ref="S167:T167" si="721">S152/R152-1</f>
        <v>0.50062084257206196</v>
      </c>
      <c r="T167" s="109">
        <f t="shared" si="721"/>
        <v>-0.15064355054954226</v>
      </c>
      <c r="U167" s="14"/>
      <c r="V167" s="14"/>
      <c r="W167" s="14"/>
      <c r="X167" s="14"/>
      <c r="Y167" s="109">
        <f t="shared" si="716"/>
        <v>0.37339016876658326</v>
      </c>
      <c r="Z167" s="110">
        <f t="shared" si="716"/>
        <v>1.1873858386160956</v>
      </c>
      <c r="AA167" s="110">
        <f t="shared" si="716"/>
        <v>0.69530463183896485</v>
      </c>
      <c r="AB167" s="110">
        <f t="shared" si="716"/>
        <v>-0.52949050371920481</v>
      </c>
      <c r="AC167" s="110">
        <f t="shared" si="716"/>
        <v>-0.53394384107876769</v>
      </c>
      <c r="AD167" s="109">
        <f t="shared" si="716"/>
        <v>5.0506990597976698E-2</v>
      </c>
      <c r="AE167" s="110">
        <f t="shared" si="716"/>
        <v>-0.88135168277402753</v>
      </c>
      <c r="AF167" s="110">
        <f t="shared" si="716"/>
        <v>-0.63329109774701509</v>
      </c>
      <c r="AG167" s="110">
        <f t="shared" si="716"/>
        <v>-1.3972882475004715</v>
      </c>
      <c r="AH167" s="110">
        <f t="shared" si="716"/>
        <v>-0.10140620241333331</v>
      </c>
      <c r="AI167" s="109">
        <f t="shared" si="717"/>
        <v>-0.73776110033786169</v>
      </c>
      <c r="AJ167" s="110">
        <f t="shared" si="717"/>
        <v>4.504633755123864</v>
      </c>
      <c r="AK167" s="110">
        <f t="shared" si="717"/>
        <v>0.69033093864091377</v>
      </c>
      <c r="AL167" s="110">
        <f t="shared" si="717"/>
        <v>-7.631002218256417</v>
      </c>
      <c r="AM167" s="110">
        <f t="shared" si="717"/>
        <v>1.8988811933937138</v>
      </c>
      <c r="AN167" s="109">
        <f t="shared" si="717"/>
        <v>3.6798252560947793</v>
      </c>
      <c r="AO167" s="110">
        <f t="shared" si="717"/>
        <v>0.29252671465670255</v>
      </c>
      <c r="AP167" s="110">
        <f t="shared" si="717"/>
        <v>0.30427731583526008</v>
      </c>
      <c r="AQ167" s="110">
        <f t="shared" si="717"/>
        <v>0.12292408015936518</v>
      </c>
      <c r="AR167" s="110">
        <f t="shared" si="717"/>
        <v>-9.453740760403484E-2</v>
      </c>
      <c r="AS167" s="109">
        <f t="shared" si="718"/>
        <v>0.1153862925604352</v>
      </c>
      <c r="AT167" s="110">
        <f t="shared" si="718"/>
        <v>-1.9492995713465078E-2</v>
      </c>
      <c r="AU167" s="110">
        <f t="shared" si="718"/>
        <v>-0.1037733992158828</v>
      </c>
      <c r="AV167" s="110">
        <f t="shared" si="718"/>
        <v>-0.1908011665021011</v>
      </c>
      <c r="AW167" s="110">
        <f t="shared" si="718"/>
        <v>-9.3191959119388601E-2</v>
      </c>
      <c r="AX167" s="109">
        <f t="shared" si="718"/>
        <v>-0.1084898770217938</v>
      </c>
      <c r="AY167" s="165">
        <v>0</v>
      </c>
      <c r="AZ167" s="165">
        <v>0</v>
      </c>
      <c r="BA167" s="165">
        <v>0</v>
      </c>
      <c r="BB167" s="165">
        <v>0</v>
      </c>
      <c r="BC167" s="109">
        <f>BC152/AX152-1</f>
        <v>3.1437021505986706E-5</v>
      </c>
      <c r="BD167" s="165">
        <v>0</v>
      </c>
      <c r="BE167" s="165">
        <v>0</v>
      </c>
      <c r="BF167" s="165">
        <v>0</v>
      </c>
      <c r="BG167" s="165">
        <v>0</v>
      </c>
      <c r="BH167" s="109">
        <f>BH152/BC152-1</f>
        <v>0</v>
      </c>
      <c r="BI167" s="166">
        <v>0</v>
      </c>
      <c r="BJ167" s="166">
        <v>0</v>
      </c>
      <c r="BK167" s="166">
        <v>0</v>
      </c>
      <c r="BL167" s="166">
        <v>0</v>
      </c>
    </row>
    <row r="168" spans="3:67" s="41" customFormat="1" ht="12.75" customHeight="1"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14"/>
      <c r="V168" s="14"/>
      <c r="W168" s="14"/>
      <c r="X168" s="14"/>
      <c r="Y168" s="56"/>
      <c r="Z168" s="14"/>
      <c r="AA168" s="14"/>
      <c r="AB168" s="14"/>
      <c r="AC168" s="14"/>
      <c r="AD168" s="56"/>
      <c r="AE168" s="14"/>
      <c r="AF168" s="14"/>
      <c r="AG168" s="14"/>
      <c r="AH168" s="14"/>
      <c r="AI168" s="56"/>
      <c r="AJ168" s="14"/>
      <c r="AK168" s="14"/>
      <c r="AL168" s="14"/>
      <c r="AM168" s="14"/>
      <c r="AN168" s="56"/>
      <c r="AO168" s="14"/>
      <c r="AP168" s="14"/>
      <c r="AQ168" s="14"/>
      <c r="AR168" s="14"/>
      <c r="AS168" s="56"/>
      <c r="AT168" s="14"/>
      <c r="AU168" s="14"/>
      <c r="AV168" s="14"/>
      <c r="AW168" s="14"/>
      <c r="AX168" s="56"/>
      <c r="AY168" s="58"/>
      <c r="AZ168" s="58"/>
      <c r="BA168" s="58"/>
      <c r="BB168" s="58"/>
      <c r="BC168" s="57"/>
      <c r="BD168" s="58"/>
      <c r="BE168" s="58"/>
      <c r="BF168" s="58"/>
      <c r="BG168" s="58"/>
      <c r="BH168" s="57"/>
      <c r="BI168" s="57"/>
      <c r="BJ168" s="57"/>
      <c r="BK168" s="57"/>
      <c r="BL168" s="57"/>
    </row>
    <row r="169" spans="3:67" s="41" customFormat="1" ht="12.75" customHeight="1">
      <c r="C169" s="84" t="s">
        <v>249</v>
      </c>
      <c r="E169" s="48">
        <v>416</v>
      </c>
      <c r="F169" s="48">
        <v>416</v>
      </c>
      <c r="G169" s="48">
        <v>416</v>
      </c>
      <c r="H169" s="48">
        <v>416</v>
      </c>
      <c r="I169" s="48">
        <v>416</v>
      </c>
      <c r="J169" s="48">
        <v>416</v>
      </c>
      <c r="K169" s="48">
        <v>416</v>
      </c>
      <c r="L169" s="48">
        <v>416</v>
      </c>
      <c r="M169" s="48">
        <v>416</v>
      </c>
      <c r="N169" s="48">
        <v>416</v>
      </c>
      <c r="O169" s="48">
        <v>416</v>
      </c>
      <c r="P169" s="48">
        <v>416</v>
      </c>
      <c r="Q169" s="48">
        <v>416</v>
      </c>
      <c r="R169" s="48">
        <v>416</v>
      </c>
      <c r="S169" s="48">
        <v>448</v>
      </c>
      <c r="T169" s="48">
        <v>440</v>
      </c>
      <c r="U169" s="39">
        <v>89</v>
      </c>
      <c r="V169" s="39">
        <v>81</v>
      </c>
      <c r="W169" s="39">
        <v>59</v>
      </c>
      <c r="X169" s="39">
        <v>46</v>
      </c>
      <c r="Y169" s="50">
        <f>SUM(U169:X169)</f>
        <v>275</v>
      </c>
      <c r="Z169" s="39">
        <v>33</v>
      </c>
      <c r="AA169" s="39">
        <v>36</v>
      </c>
      <c r="AB169" s="39">
        <v>37</v>
      </c>
      <c r="AC169" s="39">
        <v>48</v>
      </c>
      <c r="AD169" s="50">
        <f>SUM(Z169:AC169)</f>
        <v>154</v>
      </c>
      <c r="AE169" s="39">
        <v>34</v>
      </c>
      <c r="AF169" s="39">
        <v>45</v>
      </c>
      <c r="AG169" s="39">
        <v>42</v>
      </c>
      <c r="AH169" s="39">
        <v>27</v>
      </c>
      <c r="AI169" s="50">
        <f>SUM(AE169:AH169)</f>
        <v>148</v>
      </c>
      <c r="AJ169" s="39">
        <v>32</v>
      </c>
      <c r="AK169" s="39">
        <v>57</v>
      </c>
      <c r="AL169" s="39">
        <v>87</v>
      </c>
      <c r="AM169" s="39">
        <v>88</v>
      </c>
      <c r="AN169" s="50">
        <f>SUM(AJ169:AM169)</f>
        <v>264</v>
      </c>
      <c r="AO169" s="39">
        <v>93</v>
      </c>
      <c r="AP169" s="39">
        <v>130</v>
      </c>
      <c r="AQ169" s="39">
        <v>115</v>
      </c>
      <c r="AR169" s="39">
        <v>75</v>
      </c>
      <c r="AS169" s="50">
        <f>SUM(AO169:AR169)</f>
        <v>413</v>
      </c>
      <c r="AT169" s="39">
        <v>73</v>
      </c>
      <c r="AU169" s="39">
        <v>90</v>
      </c>
      <c r="AV169" s="39">
        <v>102</v>
      </c>
      <c r="AW169" s="39">
        <v>88</v>
      </c>
      <c r="AX169" s="50">
        <f>SUM(AT169:AW169)</f>
        <v>353</v>
      </c>
      <c r="AY169" s="38">
        <f>AY147*AY142*3/1000000</f>
        <v>73.73</v>
      </c>
      <c r="AZ169" s="38">
        <f t="shared" ref="AZ169:BB169" si="722">AZ147*AZ142*3/1000000</f>
        <v>84.840000000000032</v>
      </c>
      <c r="BA169" s="38">
        <f t="shared" si="722"/>
        <v>93.84</v>
      </c>
      <c r="BB169" s="38">
        <f t="shared" si="722"/>
        <v>81.59999999999998</v>
      </c>
      <c r="BC169" s="50">
        <f>SUM(AY169:BB169)</f>
        <v>334.01000000000005</v>
      </c>
      <c r="BD169" s="38">
        <f>BD147*BD142*3/1000000</f>
        <v>75.204600000000013</v>
      </c>
      <c r="BE169" s="38">
        <f t="shared" ref="BE169:BG169" si="723">BE147*BE142*3/1000000</f>
        <v>86.536800000000028</v>
      </c>
      <c r="BF169" s="38">
        <f t="shared" si="723"/>
        <v>95.716799999999992</v>
      </c>
      <c r="BG169" s="38">
        <f t="shared" si="723"/>
        <v>83.231999999999999</v>
      </c>
      <c r="BH169" s="50">
        <f>SUM(BD169:BG169)</f>
        <v>340.6902</v>
      </c>
      <c r="BI169" s="50">
        <f>BI147*BI142*12/1000000</f>
        <v>347.50400399999995</v>
      </c>
      <c r="BJ169" s="50">
        <f t="shared" ref="BJ169:BL169" si="724">BJ147*BJ142*12/1000000</f>
        <v>354.45408407999992</v>
      </c>
      <c r="BK169" s="50">
        <f t="shared" si="724"/>
        <v>361.54316576159994</v>
      </c>
      <c r="BL169" s="50">
        <f t="shared" si="724"/>
        <v>368.77402907683194</v>
      </c>
    </row>
    <row r="170" spans="3:67" s="38" customFormat="1" ht="12.75" customHeight="1">
      <c r="C170" s="99" t="s">
        <v>74</v>
      </c>
      <c r="E170" s="56">
        <f t="shared" ref="E170:Q170" si="725">E169/E134</f>
        <v>0.1917934532042416</v>
      </c>
      <c r="F170" s="56">
        <f t="shared" si="725"/>
        <v>0.1917934532042416</v>
      </c>
      <c r="G170" s="56">
        <f t="shared" si="725"/>
        <v>0.1917934532042416</v>
      </c>
      <c r="H170" s="56">
        <f t="shared" si="725"/>
        <v>0.1917934532042416</v>
      </c>
      <c r="I170" s="56">
        <f t="shared" si="725"/>
        <v>0.1917934532042416</v>
      </c>
      <c r="J170" s="56">
        <f t="shared" si="725"/>
        <v>0.1917934532042416</v>
      </c>
      <c r="K170" s="56">
        <f t="shared" si="725"/>
        <v>0.1917934532042416</v>
      </c>
      <c r="L170" s="56">
        <f t="shared" si="725"/>
        <v>0.1917934532042416</v>
      </c>
      <c r="M170" s="56">
        <f t="shared" si="725"/>
        <v>0.1917934532042416</v>
      </c>
      <c r="N170" s="56">
        <f t="shared" si="725"/>
        <v>0.1917934532042416</v>
      </c>
      <c r="O170" s="56">
        <f t="shared" si="725"/>
        <v>0.1917934532042416</v>
      </c>
      <c r="P170" s="56">
        <f t="shared" si="725"/>
        <v>0.1917934532042416</v>
      </c>
      <c r="Q170" s="56">
        <f t="shared" si="725"/>
        <v>0.1917934532042416</v>
      </c>
      <c r="R170" s="56">
        <f t="shared" ref="R170" si="726">R169/R134</f>
        <v>0.1917934532042416</v>
      </c>
      <c r="S170" s="56">
        <f t="shared" ref="S170" si="727">S169/S134</f>
        <v>0.19683655536028119</v>
      </c>
      <c r="T170" s="56">
        <f t="shared" ref="T170" si="728">T169/T134</f>
        <v>0.20285846011987091</v>
      </c>
      <c r="U170" s="14">
        <f t="shared" ref="U170" si="729">U169/U134</f>
        <v>0.24184782608695651</v>
      </c>
      <c r="V170" s="14">
        <f t="shared" ref="V170" si="730">V169/V134</f>
        <v>0.6</v>
      </c>
      <c r="W170" s="14">
        <f t="shared" ref="W170" si="731">W169/W134</f>
        <v>0.233201581027668</v>
      </c>
      <c r="X170" s="14">
        <f t="shared" ref="X170" si="732">X169/X134</f>
        <v>0.2119815668202765</v>
      </c>
      <c r="Y170" s="56">
        <f>Y169/Y134</f>
        <v>0.28263103802672146</v>
      </c>
      <c r="Z170" s="14">
        <f t="shared" ref="Z170" si="733">Z169/Z134</f>
        <v>0.17741935483870969</v>
      </c>
      <c r="AA170" s="14">
        <f t="shared" ref="AA170" si="734">AA169/AA134</f>
        <v>0.15652173913043479</v>
      </c>
      <c r="AB170" s="14">
        <f t="shared" ref="AB170" si="735">AB169/AB134</f>
        <v>0.11858974358974358</v>
      </c>
      <c r="AC170" s="14">
        <f t="shared" ref="AC170" si="736">AC169/AC134</f>
        <v>0.18604651162790697</v>
      </c>
      <c r="AD170" s="56">
        <f>AD169/AD134</f>
        <v>0.15618661257606492</v>
      </c>
      <c r="AE170" s="14">
        <f t="shared" ref="AE170" si="737">AE169/AE134</f>
        <v>0.13492063492063491</v>
      </c>
      <c r="AF170" s="14">
        <f t="shared" ref="AF170" si="738">AF169/AF134</f>
        <v>0.12129380053908356</v>
      </c>
      <c r="AG170" s="14">
        <f t="shared" ref="AG170" si="739">AG169/AG134</f>
        <v>9.2511013215859028E-2</v>
      </c>
      <c r="AH170" s="14">
        <f t="shared" ref="AH170" si="740">AH169/AH134</f>
        <v>8.2317073170731711E-2</v>
      </c>
      <c r="AI170" s="56">
        <f>AI169/AI134</f>
        <v>0.10533807829181495</v>
      </c>
      <c r="AJ170" s="14">
        <f t="shared" ref="AJ170:AM170" si="741">AJ169/AJ134</f>
        <v>0.10094637223974763</v>
      </c>
      <c r="AK170" s="14">
        <f t="shared" si="741"/>
        <v>0.13507109004739337</v>
      </c>
      <c r="AL170" s="14">
        <f t="shared" si="741"/>
        <v>0.16384180790960451</v>
      </c>
      <c r="AM170" s="14">
        <f t="shared" si="741"/>
        <v>0.23218997361477572</v>
      </c>
      <c r="AN170" s="56">
        <f>AN169/AN134</f>
        <v>0.16009702850212248</v>
      </c>
      <c r="AO170" s="14">
        <f t="shared" ref="AO170:AT170" si="742">AO169/AO134</f>
        <v>0.27272727272727271</v>
      </c>
      <c r="AP170" s="14">
        <f t="shared" si="742"/>
        <v>0.30588235294117649</v>
      </c>
      <c r="AQ170" s="14">
        <f t="shared" si="742"/>
        <v>0.22373540856031129</v>
      </c>
      <c r="AR170" s="14">
        <f t="shared" si="742"/>
        <v>0.20215633423180593</v>
      </c>
      <c r="AS170" s="56">
        <f>AS169/AS134</f>
        <v>0.25015142337976981</v>
      </c>
      <c r="AT170" s="14">
        <f t="shared" si="742"/>
        <v>0.2260061919504644</v>
      </c>
      <c r="AU170" s="14">
        <f t="shared" ref="AU170:AW170" si="743">AU169/AU134</f>
        <v>0.20134228187919462</v>
      </c>
      <c r="AV170" s="14">
        <f t="shared" si="743"/>
        <v>0.1795774647887324</v>
      </c>
      <c r="AW170" s="14">
        <f t="shared" si="743"/>
        <v>0.21621621621621623</v>
      </c>
      <c r="AX170" s="56">
        <f>AX169/AX134</f>
        <v>0.20229226361031519</v>
      </c>
      <c r="AY170" s="14">
        <f t="shared" ref="AY170:BB170" si="744">AY169/AY134</f>
        <v>0.22291072329916903</v>
      </c>
      <c r="AZ170" s="14">
        <f t="shared" si="744"/>
        <v>0.19606630026904603</v>
      </c>
      <c r="BA170" s="14">
        <f t="shared" si="744"/>
        <v>0.17372928513098643</v>
      </c>
      <c r="BB170" s="14">
        <f t="shared" si="744"/>
        <v>0.20901787293314744</v>
      </c>
      <c r="BC170" s="56">
        <f>BC169/BC134</f>
        <v>0.19717016657638287</v>
      </c>
      <c r="BD170" s="14">
        <f t="shared" ref="BD170:BG170" si="745">BD169/BD134</f>
        <v>0.22291072329916911</v>
      </c>
      <c r="BE170" s="14">
        <f t="shared" si="745"/>
        <v>0.19606630026904598</v>
      </c>
      <c r="BF170" s="14">
        <f t="shared" si="745"/>
        <v>0.1737292851309864</v>
      </c>
      <c r="BG170" s="14">
        <f t="shared" si="745"/>
        <v>0.20901787293314747</v>
      </c>
      <c r="BH170" s="56">
        <f>BH169/BH134</f>
        <v>0.19717016657638284</v>
      </c>
      <c r="BI170" s="56">
        <f t="shared" ref="BI170" si="746">BI169/BI134</f>
        <v>0.19676678011547247</v>
      </c>
      <c r="BJ170" s="56">
        <f t="shared" ref="BJ170" si="747">BJ169/BJ134</f>
        <v>0.19730586718428195</v>
      </c>
      <c r="BK170" s="56">
        <f t="shared" ref="BK170" si="748">BK169/BK134</f>
        <v>0.19730586718428197</v>
      </c>
      <c r="BL170" s="56">
        <f t="shared" ref="BL170" si="749">BL169/BL134</f>
        <v>0.197305867184282</v>
      </c>
      <c r="BO170" s="139"/>
    </row>
    <row r="171" spans="3:67" s="41" customFormat="1" ht="12.75" customHeight="1">
      <c r="C171" s="84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39"/>
      <c r="V171" s="39"/>
      <c r="W171" s="39"/>
      <c r="X171" s="39"/>
      <c r="Y171" s="50"/>
      <c r="Z171" s="39"/>
      <c r="AA171" s="39"/>
      <c r="AB171" s="39"/>
      <c r="AC171" s="39"/>
      <c r="AD171" s="50"/>
      <c r="AE171" s="39"/>
      <c r="AF171" s="39"/>
      <c r="AG171" s="39"/>
      <c r="AH171" s="39"/>
      <c r="AI171" s="50"/>
      <c r="AJ171" s="39"/>
      <c r="AK171" s="39"/>
      <c r="AL171" s="39"/>
      <c r="AM171" s="39"/>
      <c r="AN171" s="50"/>
      <c r="AO171" s="39"/>
      <c r="AP171" s="39"/>
      <c r="AQ171" s="39"/>
      <c r="AR171" s="39"/>
      <c r="AS171" s="50"/>
      <c r="AT171" s="39"/>
      <c r="AU171" s="39"/>
      <c r="AV171" s="39"/>
      <c r="AW171" s="39"/>
      <c r="AX171" s="50"/>
      <c r="AY171" s="58"/>
      <c r="AZ171" s="58"/>
      <c r="BA171" s="58"/>
      <c r="BB171" s="58"/>
      <c r="BC171" s="57"/>
      <c r="BD171" s="58"/>
      <c r="BE171" s="58"/>
      <c r="BF171" s="58"/>
      <c r="BG171" s="58"/>
      <c r="BH171" s="57"/>
      <c r="BI171" s="57"/>
      <c r="BJ171" s="57"/>
      <c r="BK171" s="57"/>
      <c r="BL171" s="57"/>
    </row>
    <row r="172" spans="3:67" s="41" customFormat="1" ht="12.75" customHeight="1">
      <c r="C172" s="84" t="s">
        <v>250</v>
      </c>
      <c r="E172" s="48">
        <v>1273</v>
      </c>
      <c r="F172" s="48">
        <v>1273</v>
      </c>
      <c r="G172" s="48">
        <v>1273</v>
      </c>
      <c r="H172" s="48">
        <v>1273</v>
      </c>
      <c r="I172" s="48">
        <v>1273</v>
      </c>
      <c r="J172" s="48">
        <v>1273</v>
      </c>
      <c r="K172" s="48">
        <v>1273</v>
      </c>
      <c r="L172" s="48">
        <v>1273</v>
      </c>
      <c r="M172" s="48">
        <v>1273</v>
      </c>
      <c r="N172" s="48">
        <v>1273</v>
      </c>
      <c r="O172" s="48">
        <v>1273</v>
      </c>
      <c r="P172" s="48">
        <v>1273</v>
      </c>
      <c r="Q172" s="48">
        <v>1273</v>
      </c>
      <c r="R172" s="48">
        <v>1273</v>
      </c>
      <c r="S172" s="48">
        <v>1306</v>
      </c>
      <c r="T172" s="48">
        <v>1312</v>
      </c>
      <c r="U172" s="39">
        <v>265</v>
      </c>
      <c r="V172" s="39">
        <v>136</v>
      </c>
      <c r="W172" s="39">
        <v>179</v>
      </c>
      <c r="X172" s="39">
        <v>163</v>
      </c>
      <c r="Y172" s="50">
        <f>SUM(U172:X172)</f>
        <v>743</v>
      </c>
      <c r="Z172" s="39">
        <v>124</v>
      </c>
      <c r="AA172" s="39">
        <v>154</v>
      </c>
      <c r="AB172" s="39">
        <v>173</v>
      </c>
      <c r="AC172" s="39">
        <v>154</v>
      </c>
      <c r="AD172" s="50">
        <f>SUM(Z172:AC172)</f>
        <v>605</v>
      </c>
      <c r="AE172" s="39">
        <v>151</v>
      </c>
      <c r="AF172" s="39">
        <v>197</v>
      </c>
      <c r="AG172" s="39">
        <v>206</v>
      </c>
      <c r="AH172" s="39">
        <v>174</v>
      </c>
      <c r="AI172" s="50">
        <f>SUM(AE172:AH172)</f>
        <v>728</v>
      </c>
      <c r="AJ172" s="39">
        <v>182</v>
      </c>
      <c r="AK172" s="39">
        <v>211</v>
      </c>
      <c r="AL172" s="39">
        <v>258</v>
      </c>
      <c r="AM172" s="39">
        <v>229</v>
      </c>
      <c r="AN172" s="50">
        <f>SUM(AJ172:AM172)</f>
        <v>880</v>
      </c>
      <c r="AO172" s="39">
        <v>216</v>
      </c>
      <c r="AP172" s="39">
        <v>244</v>
      </c>
      <c r="AQ172" s="39">
        <v>271</v>
      </c>
      <c r="AR172" s="39">
        <v>240</v>
      </c>
      <c r="AS172" s="50">
        <f>SUM(AO172:AR172)</f>
        <v>971</v>
      </c>
      <c r="AT172" s="39">
        <v>207</v>
      </c>
      <c r="AU172" s="39">
        <v>263</v>
      </c>
      <c r="AV172" s="39">
        <v>298</v>
      </c>
      <c r="AW172" s="39">
        <v>263</v>
      </c>
      <c r="AX172" s="50">
        <f>SUM(AT172:AW172)</f>
        <v>1031</v>
      </c>
      <c r="AY172" s="38">
        <f>AY150*AY143*AY139/1000000</f>
        <v>198.61649999999997</v>
      </c>
      <c r="AZ172" s="38">
        <f t="shared" ref="AZ172:BB172" si="750">AZ150*AZ143*AZ139/1000000</f>
        <v>252.3485</v>
      </c>
      <c r="BA172" s="38">
        <f t="shared" si="750"/>
        <v>288.762</v>
      </c>
      <c r="BB172" s="38">
        <f t="shared" si="750"/>
        <v>254.84699999999995</v>
      </c>
      <c r="BC172" s="50">
        <f>SUM(AY172:BB172)</f>
        <v>994.57399999999996</v>
      </c>
      <c r="BD172" s="38">
        <f t="shared" ref="BD172:BG172" si="751">BD150*BD143*BD139/1000000</f>
        <v>196.51116509999997</v>
      </c>
      <c r="BE172" s="38">
        <f t="shared" si="751"/>
        <v>249.67360590000001</v>
      </c>
      <c r="BF172" s="38">
        <f t="shared" si="751"/>
        <v>285.70112280000001</v>
      </c>
      <c r="BG172" s="38">
        <f t="shared" si="751"/>
        <v>252.14562179999996</v>
      </c>
      <c r="BH172" s="50">
        <f>SUM(BD172:BG172)</f>
        <v>984.03151559999992</v>
      </c>
      <c r="BI172" s="50">
        <f t="shared" ref="BI172:BL172" si="752">BI150*BI143*BI139/1000000</f>
        <v>1006.4620422021699</v>
      </c>
      <c r="BJ172" s="50">
        <f t="shared" si="752"/>
        <v>1023.7863888302398</v>
      </c>
      <c r="BK172" s="50">
        <f t="shared" si="752"/>
        <v>1044.2621166068448</v>
      </c>
      <c r="BL172" s="50">
        <f t="shared" si="752"/>
        <v>1065.1473589389816</v>
      </c>
    </row>
    <row r="173" spans="3:67" s="38" customFormat="1" ht="12.75" customHeight="1">
      <c r="C173" s="99" t="s">
        <v>74</v>
      </c>
      <c r="E173" s="56">
        <f t="shared" ref="E173:Q173" si="753">E172/E134</f>
        <v>0.58690640848317199</v>
      </c>
      <c r="F173" s="56">
        <f t="shared" si="753"/>
        <v>0.58690640848317199</v>
      </c>
      <c r="G173" s="56">
        <f t="shared" si="753"/>
        <v>0.58690640848317199</v>
      </c>
      <c r="H173" s="56">
        <f t="shared" si="753"/>
        <v>0.58690640848317199</v>
      </c>
      <c r="I173" s="56">
        <f t="shared" si="753"/>
        <v>0.58690640848317199</v>
      </c>
      <c r="J173" s="56">
        <f t="shared" si="753"/>
        <v>0.58690640848317199</v>
      </c>
      <c r="K173" s="56">
        <f t="shared" si="753"/>
        <v>0.58690640848317199</v>
      </c>
      <c r="L173" s="56">
        <f t="shared" si="753"/>
        <v>0.58690640848317199</v>
      </c>
      <c r="M173" s="56">
        <f t="shared" si="753"/>
        <v>0.58690640848317199</v>
      </c>
      <c r="N173" s="56">
        <f t="shared" si="753"/>
        <v>0.58690640848317199</v>
      </c>
      <c r="O173" s="56">
        <f t="shared" si="753"/>
        <v>0.58690640848317199</v>
      </c>
      <c r="P173" s="56">
        <f t="shared" si="753"/>
        <v>0.58690640848317199</v>
      </c>
      <c r="Q173" s="56">
        <f t="shared" si="753"/>
        <v>0.58690640848317199</v>
      </c>
      <c r="R173" s="56">
        <f t="shared" ref="R173" si="754">R172/R134</f>
        <v>0.58690640848317199</v>
      </c>
      <c r="S173" s="56">
        <f t="shared" ref="S173" si="755">S172/S134</f>
        <v>0.57381370826010547</v>
      </c>
      <c r="T173" s="56">
        <f t="shared" ref="T173" si="756">T172/T134</f>
        <v>0.60488704472106958</v>
      </c>
      <c r="U173" s="14">
        <f t="shared" ref="U173" si="757">U172/U134</f>
        <v>0.72010869565217395</v>
      </c>
      <c r="V173" s="14">
        <f t="shared" ref="V173" si="758">V172/V134</f>
        <v>1.0074074074074073</v>
      </c>
      <c r="W173" s="14">
        <f t="shared" ref="W173" si="759">W172/W134</f>
        <v>0.70750988142292492</v>
      </c>
      <c r="X173" s="14">
        <f t="shared" ref="X173" si="760">X172/X134</f>
        <v>0.75115207373271886</v>
      </c>
      <c r="Y173" s="56">
        <f>Y172/Y134</f>
        <v>0.76361767728674201</v>
      </c>
      <c r="Z173" s="14">
        <f t="shared" ref="Z173" si="761">Z172/Z134</f>
        <v>0.66666666666666663</v>
      </c>
      <c r="AA173" s="14">
        <f t="shared" ref="AA173" si="762">AA172/AA134</f>
        <v>0.66956521739130437</v>
      </c>
      <c r="AB173" s="14">
        <f t="shared" ref="AB173" si="763">AB172/AB134</f>
        <v>0.55448717948717952</v>
      </c>
      <c r="AC173" s="14">
        <f t="shared" ref="AC173" si="764">AC172/AC134</f>
        <v>0.5968992248062015</v>
      </c>
      <c r="AD173" s="56">
        <f>AD172/AD134</f>
        <v>0.61359026369168357</v>
      </c>
      <c r="AE173" s="14">
        <f t="shared" ref="AE173" si="765">AE172/AE134</f>
        <v>0.59920634920634919</v>
      </c>
      <c r="AF173" s="14">
        <f t="shared" ref="AF173" si="766">AF172/AF134</f>
        <v>0.53099730458221028</v>
      </c>
      <c r="AG173" s="14">
        <f t="shared" ref="AG173" si="767">AG172/AG134</f>
        <v>0.45374449339207046</v>
      </c>
      <c r="AH173" s="14">
        <f t="shared" ref="AH173" si="768">AH172/AH134</f>
        <v>0.53048780487804881</v>
      </c>
      <c r="AI173" s="56">
        <f>AI172/AI134</f>
        <v>0.51814946619217084</v>
      </c>
      <c r="AJ173" s="14">
        <f t="shared" ref="AJ173:AM173" si="769">AJ172/AJ134</f>
        <v>0.57413249211356465</v>
      </c>
      <c r="AK173" s="14">
        <f t="shared" si="769"/>
        <v>0.5</v>
      </c>
      <c r="AL173" s="14">
        <f t="shared" si="769"/>
        <v>0.48587570621468928</v>
      </c>
      <c r="AM173" s="14">
        <f t="shared" si="769"/>
        <v>0.60422163588390498</v>
      </c>
      <c r="AN173" s="56">
        <f>AN172/AN134</f>
        <v>0.53365676167374165</v>
      </c>
      <c r="AO173" s="14">
        <f t="shared" ref="AO173:AT173" si="770">AO172/AO134</f>
        <v>0.63343108504398826</v>
      </c>
      <c r="AP173" s="14">
        <f t="shared" si="770"/>
        <v>0.57411764705882351</v>
      </c>
      <c r="AQ173" s="14">
        <f t="shared" si="770"/>
        <v>0.52723735408560313</v>
      </c>
      <c r="AR173" s="14">
        <f t="shared" si="770"/>
        <v>0.64690026954177893</v>
      </c>
      <c r="AS173" s="56">
        <f>AS172/AS134</f>
        <v>0.58812840702604485</v>
      </c>
      <c r="AT173" s="14">
        <f t="shared" si="770"/>
        <v>0.64086687306501544</v>
      </c>
      <c r="AU173" s="14">
        <f t="shared" ref="AU173:AW173" si="771">AU172/AU134</f>
        <v>0.5883668903803132</v>
      </c>
      <c r="AV173" s="14">
        <f t="shared" si="771"/>
        <v>0.52464788732394363</v>
      </c>
      <c r="AW173" s="14">
        <f t="shared" si="771"/>
        <v>0.64619164619164615</v>
      </c>
      <c r="AX173" s="56">
        <f>AX172/AX134</f>
        <v>0.59083094555873927</v>
      </c>
      <c r="AY173" s="14">
        <f t="shared" ref="AY173:BB173" si="772">AY172/AY134</f>
        <v>0.60048484570933669</v>
      </c>
      <c r="AZ173" s="14">
        <f t="shared" si="772"/>
        <v>0.58318053716929918</v>
      </c>
      <c r="BA173" s="14">
        <f t="shared" si="772"/>
        <v>0.53459522413676364</v>
      </c>
      <c r="BB173" s="14">
        <f t="shared" si="772"/>
        <v>0.6527889444043361</v>
      </c>
      <c r="BC173" s="56">
        <f>BC172/BC134</f>
        <v>0.58710913221921313</v>
      </c>
      <c r="BD173" s="14">
        <f t="shared" ref="BD173:BG173" si="773">BD172/BD134</f>
        <v>0.5824703003380568</v>
      </c>
      <c r="BE173" s="14">
        <f t="shared" si="773"/>
        <v>0.5656851210542202</v>
      </c>
      <c r="BF173" s="14">
        <f t="shared" si="773"/>
        <v>0.51855736741266067</v>
      </c>
      <c r="BG173" s="14">
        <f t="shared" si="773"/>
        <v>0.633205276072206</v>
      </c>
      <c r="BH173" s="56">
        <f>BH172/BH134</f>
        <v>0.56949585825263671</v>
      </c>
      <c r="BI173" s="56">
        <f t="shared" ref="BI173" si="774">BI172/BI134</f>
        <v>0.56988780869576328</v>
      </c>
      <c r="BJ173" s="56">
        <f t="shared" ref="BJ173" si="775">BJ172/BJ134</f>
        <v>0.56988780869576317</v>
      </c>
      <c r="BK173" s="56">
        <f t="shared" ref="BK173" si="776">BK172/BK134</f>
        <v>0.56988780869576328</v>
      </c>
      <c r="BL173" s="56">
        <f t="shared" ref="BL173" si="777">BL172/BL134</f>
        <v>0.56988780869576328</v>
      </c>
      <c r="BO173" s="139"/>
    </row>
    <row r="174" spans="3:67" s="41" customFormat="1" ht="12.75" customHeight="1">
      <c r="C174" s="84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39"/>
      <c r="V174" s="39"/>
      <c r="W174" s="39"/>
      <c r="X174" s="39"/>
      <c r="Y174" s="50"/>
      <c r="Z174" s="39"/>
      <c r="AA174" s="39"/>
      <c r="AB174" s="39"/>
      <c r="AC174" s="39"/>
      <c r="AD174" s="50"/>
      <c r="AE174" s="39"/>
      <c r="AF174" s="39"/>
      <c r="AG174" s="39"/>
      <c r="AH174" s="39"/>
      <c r="AI174" s="50"/>
      <c r="AJ174" s="39"/>
      <c r="AK174" s="39"/>
      <c r="AL174" s="39"/>
      <c r="AM174" s="39"/>
      <c r="AN174" s="50"/>
      <c r="AO174" s="39"/>
      <c r="AP174" s="39"/>
      <c r="AQ174" s="39"/>
      <c r="AR174" s="39"/>
      <c r="AS174" s="50"/>
      <c r="AT174" s="39"/>
      <c r="AU174" s="39"/>
      <c r="AV174" s="39"/>
      <c r="AW174" s="39"/>
      <c r="AX174" s="50"/>
      <c r="AY174" s="58"/>
      <c r="AZ174" s="58"/>
      <c r="BA174" s="58"/>
      <c r="BB174" s="58"/>
      <c r="BC174" s="57"/>
      <c r="BD174" s="58"/>
      <c r="BE174" s="58"/>
      <c r="BF174" s="58"/>
      <c r="BG174" s="58"/>
      <c r="BH174" s="57"/>
      <c r="BI174" s="57"/>
      <c r="BJ174" s="57"/>
      <c r="BK174" s="57"/>
      <c r="BL174" s="57"/>
    </row>
    <row r="175" spans="3:67" s="41" customFormat="1" ht="12.75" customHeight="1">
      <c r="C175" s="84" t="s">
        <v>251</v>
      </c>
      <c r="E175" s="48">
        <v>33</v>
      </c>
      <c r="F175" s="48">
        <v>33</v>
      </c>
      <c r="G175" s="48">
        <v>33</v>
      </c>
      <c r="H175" s="48">
        <v>33</v>
      </c>
      <c r="I175" s="48">
        <v>33</v>
      </c>
      <c r="J175" s="48">
        <v>33</v>
      </c>
      <c r="K175" s="48">
        <v>33</v>
      </c>
      <c r="L175" s="48">
        <v>33</v>
      </c>
      <c r="M175" s="48">
        <v>33</v>
      </c>
      <c r="N175" s="48">
        <v>33</v>
      </c>
      <c r="O175" s="48">
        <v>33</v>
      </c>
      <c r="P175" s="48">
        <v>33</v>
      </c>
      <c r="Q175" s="48">
        <v>33</v>
      </c>
      <c r="R175" s="48">
        <v>33</v>
      </c>
      <c r="S175" s="68">
        <v>12</v>
      </c>
      <c r="T175" s="68">
        <v>12</v>
      </c>
      <c r="U175" s="67">
        <v>3</v>
      </c>
      <c r="V175" s="67">
        <v>3</v>
      </c>
      <c r="W175" s="67">
        <v>3</v>
      </c>
      <c r="X175" s="67">
        <v>3</v>
      </c>
      <c r="Y175" s="50">
        <f>SUM(U175:X175)</f>
        <v>12</v>
      </c>
      <c r="Z175" s="39">
        <v>5</v>
      </c>
      <c r="AA175" s="39">
        <v>4</v>
      </c>
      <c r="AB175" s="39">
        <v>3</v>
      </c>
      <c r="AC175" s="39">
        <v>4</v>
      </c>
      <c r="AD175" s="50">
        <f>SUM(Z175:AC175)</f>
        <v>16</v>
      </c>
      <c r="AE175" s="39">
        <v>3</v>
      </c>
      <c r="AF175" s="39">
        <v>4</v>
      </c>
      <c r="AG175" s="39">
        <v>3</v>
      </c>
      <c r="AH175" s="39">
        <v>3</v>
      </c>
      <c r="AI175" s="50">
        <f>SUM(AE175:AH175)</f>
        <v>13</v>
      </c>
      <c r="AJ175" s="39">
        <v>2</v>
      </c>
      <c r="AK175" s="39">
        <v>3</v>
      </c>
      <c r="AL175" s="39">
        <v>3</v>
      </c>
      <c r="AM175" s="39">
        <v>3</v>
      </c>
      <c r="AN175" s="50">
        <f>SUM(AJ175:AM175)</f>
        <v>11</v>
      </c>
      <c r="AO175" s="39">
        <v>4</v>
      </c>
      <c r="AP175" s="39">
        <v>3</v>
      </c>
      <c r="AQ175" s="39">
        <v>3</v>
      </c>
      <c r="AR175" s="39">
        <v>3</v>
      </c>
      <c r="AS175" s="50">
        <f>SUM(AO175:AR175)</f>
        <v>13</v>
      </c>
      <c r="AT175" s="39">
        <v>3</v>
      </c>
      <c r="AU175" s="39">
        <v>4</v>
      </c>
      <c r="AV175" s="39">
        <v>3</v>
      </c>
      <c r="AW175" s="39">
        <v>4</v>
      </c>
      <c r="AX175" s="50">
        <f>SUM(AT175:AW175)</f>
        <v>14</v>
      </c>
      <c r="AY175" s="67">
        <f>AT175</f>
        <v>3</v>
      </c>
      <c r="AZ175" s="67">
        <f>AU175</f>
        <v>4</v>
      </c>
      <c r="BA175" s="67">
        <f>AV175</f>
        <v>3</v>
      </c>
      <c r="BB175" s="67">
        <f>AW175</f>
        <v>4</v>
      </c>
      <c r="BC175" s="50">
        <f>SUM(AY175:BB175)</f>
        <v>14</v>
      </c>
      <c r="BD175" s="67">
        <f>AY175</f>
        <v>3</v>
      </c>
      <c r="BE175" s="67">
        <f>AZ175</f>
        <v>4</v>
      </c>
      <c r="BF175" s="67">
        <f>BA175</f>
        <v>3</v>
      </c>
      <c r="BG175" s="67">
        <f>BB175</f>
        <v>4</v>
      </c>
      <c r="BH175" s="50">
        <f>SUM(BD175:BG175)</f>
        <v>14</v>
      </c>
      <c r="BI175" s="140">
        <f>BH175</f>
        <v>14</v>
      </c>
      <c r="BJ175" s="140">
        <f t="shared" ref="BJ175:BL175" si="778">BI175</f>
        <v>14</v>
      </c>
      <c r="BK175" s="140">
        <f t="shared" si="778"/>
        <v>14</v>
      </c>
      <c r="BL175" s="140">
        <f t="shared" si="778"/>
        <v>14</v>
      </c>
    </row>
    <row r="176" spans="3:67" s="38" customFormat="1" ht="12.75" customHeight="1">
      <c r="C176" s="99" t="s">
        <v>74</v>
      </c>
      <c r="E176" s="56">
        <f t="shared" ref="E176:Q176" si="779">E175/E134</f>
        <v>1.5214384508990318E-2</v>
      </c>
      <c r="F176" s="56">
        <f t="shared" si="779"/>
        <v>1.5214384508990318E-2</v>
      </c>
      <c r="G176" s="56">
        <f t="shared" si="779"/>
        <v>1.5214384508990318E-2</v>
      </c>
      <c r="H176" s="56">
        <f t="shared" si="779"/>
        <v>1.5214384508990318E-2</v>
      </c>
      <c r="I176" s="56">
        <f t="shared" si="779"/>
        <v>1.5214384508990318E-2</v>
      </c>
      <c r="J176" s="56">
        <f t="shared" si="779"/>
        <v>1.5214384508990318E-2</v>
      </c>
      <c r="K176" s="56">
        <f t="shared" si="779"/>
        <v>1.5214384508990318E-2</v>
      </c>
      <c r="L176" s="56">
        <f t="shared" si="779"/>
        <v>1.5214384508990318E-2</v>
      </c>
      <c r="M176" s="56">
        <f t="shared" si="779"/>
        <v>1.5214384508990318E-2</v>
      </c>
      <c r="N176" s="56">
        <f t="shared" si="779"/>
        <v>1.5214384508990318E-2</v>
      </c>
      <c r="O176" s="56">
        <f t="shared" si="779"/>
        <v>1.5214384508990318E-2</v>
      </c>
      <c r="P176" s="56">
        <f t="shared" si="779"/>
        <v>1.5214384508990318E-2</v>
      </c>
      <c r="Q176" s="56">
        <f t="shared" si="779"/>
        <v>1.5214384508990318E-2</v>
      </c>
      <c r="R176" s="56">
        <f t="shared" ref="R176" si="780">R175/R134</f>
        <v>1.5214384508990318E-2</v>
      </c>
      <c r="S176" s="56">
        <f t="shared" ref="S176" si="781">S175/S134</f>
        <v>5.272407732864675E-3</v>
      </c>
      <c r="T176" s="56">
        <f t="shared" ref="T176" si="782">T175/T134</f>
        <v>5.5325034578146614E-3</v>
      </c>
      <c r="U176" s="14">
        <f t="shared" ref="U176" si="783">U175/U134</f>
        <v>8.152173913043478E-3</v>
      </c>
      <c r="V176" s="14">
        <f t="shared" ref="V176" si="784">V175/V134</f>
        <v>2.2222222222222223E-2</v>
      </c>
      <c r="W176" s="14">
        <f t="shared" ref="W176" si="785">W175/W134</f>
        <v>1.1857707509881422E-2</v>
      </c>
      <c r="X176" s="14">
        <f t="shared" ref="X176" si="786">X175/X134</f>
        <v>1.3824884792626729E-2</v>
      </c>
      <c r="Y176" s="56">
        <f>Y175/Y134</f>
        <v>1.2332990750256937E-2</v>
      </c>
      <c r="Z176" s="14">
        <f t="shared" ref="Z176" si="787">Z175/Z134</f>
        <v>2.6881720430107527E-2</v>
      </c>
      <c r="AA176" s="14">
        <f t="shared" ref="AA176" si="788">AA175/AA134</f>
        <v>1.7391304347826087E-2</v>
      </c>
      <c r="AB176" s="14">
        <f t="shared" ref="AB176" si="789">AB175/AB134</f>
        <v>9.6153846153846159E-3</v>
      </c>
      <c r="AC176" s="14">
        <f t="shared" ref="AC176" si="790">AC175/AC134</f>
        <v>1.5503875968992248E-2</v>
      </c>
      <c r="AD176" s="56">
        <f>AD175/AD134</f>
        <v>1.6227180527383367E-2</v>
      </c>
      <c r="AE176" s="14">
        <f t="shared" ref="AE176" si="791">AE175/AE134</f>
        <v>1.1904761904761904E-2</v>
      </c>
      <c r="AF176" s="14">
        <f t="shared" ref="AF176" si="792">AF175/AF134</f>
        <v>1.078167115902965E-2</v>
      </c>
      <c r="AG176" s="14">
        <f t="shared" ref="AG176" si="793">AG175/AG134</f>
        <v>6.6079295154185024E-3</v>
      </c>
      <c r="AH176" s="14">
        <f t="shared" ref="AH176" si="794">AH175/AH134</f>
        <v>9.1463414634146336E-3</v>
      </c>
      <c r="AI176" s="56">
        <f>AI175/AI134</f>
        <v>9.2526690391459068E-3</v>
      </c>
      <c r="AJ176" s="14">
        <f t="shared" ref="AJ176:AM176" si="795">AJ175/AJ134</f>
        <v>6.3091482649842269E-3</v>
      </c>
      <c r="AK176" s="14">
        <f t="shared" si="795"/>
        <v>7.1090047393364926E-3</v>
      </c>
      <c r="AL176" s="14">
        <f t="shared" si="795"/>
        <v>5.6497175141242938E-3</v>
      </c>
      <c r="AM176" s="14">
        <f t="shared" si="795"/>
        <v>7.9155672823219003E-3</v>
      </c>
      <c r="AN176" s="56">
        <f>AN175/AN134</f>
        <v>6.6707095209217705E-3</v>
      </c>
      <c r="AO176" s="14">
        <f t="shared" ref="AO176:AT176" si="796">AO175/AO134</f>
        <v>1.1730205278592375E-2</v>
      </c>
      <c r="AP176" s="14">
        <f t="shared" si="796"/>
        <v>7.058823529411765E-3</v>
      </c>
      <c r="AQ176" s="14">
        <f t="shared" si="796"/>
        <v>5.8365758754863814E-3</v>
      </c>
      <c r="AR176" s="14">
        <f t="shared" si="796"/>
        <v>8.0862533692722376E-3</v>
      </c>
      <c r="AS176" s="56">
        <f>AS175/AS134</f>
        <v>7.874015748031496E-3</v>
      </c>
      <c r="AT176" s="14">
        <f t="shared" si="796"/>
        <v>9.2879256965944269E-3</v>
      </c>
      <c r="AU176" s="14">
        <f t="shared" ref="AU176:AW176" si="797">AU175/AU134</f>
        <v>8.948545861297539E-3</v>
      </c>
      <c r="AV176" s="14">
        <f t="shared" si="797"/>
        <v>5.2816901408450703E-3</v>
      </c>
      <c r="AW176" s="14">
        <f t="shared" si="797"/>
        <v>9.8280098280098278E-3</v>
      </c>
      <c r="AX176" s="56">
        <f>AX175/AX134</f>
        <v>8.0229226361031511E-3</v>
      </c>
      <c r="AY176" s="14">
        <f t="shared" ref="AY176:BB176" si="798">AY175/AY134</f>
        <v>9.0700145110200331E-3</v>
      </c>
      <c r="AZ176" s="14">
        <f t="shared" si="798"/>
        <v>9.2440499891110785E-3</v>
      </c>
      <c r="BA176" s="14">
        <f t="shared" si="798"/>
        <v>5.5540052791236069E-3</v>
      </c>
      <c r="BB176" s="14">
        <f t="shared" si="798"/>
        <v>1.0245974163389583E-2</v>
      </c>
      <c r="BC176" s="56">
        <f>BC175/BC134</f>
        <v>8.2643703244494465E-3</v>
      </c>
      <c r="BD176" s="14">
        <f t="shared" ref="BD176:BG176" si="799">BD175/BD134</f>
        <v>8.8921710892353283E-3</v>
      </c>
      <c r="BE176" s="14">
        <f t="shared" si="799"/>
        <v>9.0627941069716441E-3</v>
      </c>
      <c r="BF176" s="14">
        <f t="shared" si="799"/>
        <v>5.4451032148270647E-3</v>
      </c>
      <c r="BG176" s="14">
        <f t="shared" si="799"/>
        <v>1.0045072709205473E-2</v>
      </c>
      <c r="BH176" s="56">
        <f>BH175/BH134</f>
        <v>8.1023238474994576E-3</v>
      </c>
      <c r="BI176" s="56">
        <f t="shared" ref="BI176" si="800">BI175/BI134</f>
        <v>7.9272033988322475E-3</v>
      </c>
      <c r="BJ176" s="56">
        <f t="shared" ref="BJ176" si="801">BJ175/BJ134</f>
        <v>7.7930605532436272E-3</v>
      </c>
      <c r="BK176" s="56">
        <f t="shared" ref="BK176" si="802">BK175/BK134</f>
        <v>7.6402554443564972E-3</v>
      </c>
      <c r="BL176" s="56">
        <f t="shared" ref="BL176" si="803">BL175/BL134</f>
        <v>7.4904465140749991E-3</v>
      </c>
      <c r="BO176" s="139"/>
    </row>
    <row r="177" spans="2:67" s="38" customFormat="1" ht="12.75" customHeight="1">
      <c r="C177" s="99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39"/>
      <c r="V177" s="39"/>
      <c r="W177" s="39"/>
      <c r="X177" s="39"/>
      <c r="Y177" s="56"/>
      <c r="Z177" s="39"/>
      <c r="AA177" s="39"/>
      <c r="AB177" s="39"/>
      <c r="AC177" s="39"/>
      <c r="AD177" s="56"/>
      <c r="AE177" s="39"/>
      <c r="AF177" s="39"/>
      <c r="AG177" s="39"/>
      <c r="AH177" s="39"/>
      <c r="AI177" s="56"/>
      <c r="AJ177" s="39"/>
      <c r="AK177" s="39"/>
      <c r="AL177" s="39"/>
      <c r="AM177" s="39"/>
      <c r="AN177" s="56"/>
      <c r="AO177" s="39"/>
      <c r="AP177" s="39"/>
      <c r="AQ177" s="39"/>
      <c r="AR177" s="39"/>
      <c r="AS177" s="56"/>
      <c r="AT177" s="39"/>
      <c r="AU177" s="39"/>
      <c r="AV177" s="39"/>
      <c r="AW177" s="39"/>
      <c r="AX177" s="56"/>
      <c r="AY177" s="82"/>
      <c r="AZ177" s="82"/>
      <c r="BA177" s="82"/>
      <c r="BB177" s="82"/>
      <c r="BC177" s="50"/>
      <c r="BD177" s="82"/>
      <c r="BE177" s="82"/>
      <c r="BF177" s="82"/>
      <c r="BG177" s="82"/>
      <c r="BH177" s="50"/>
      <c r="BI177" s="50"/>
      <c r="BJ177" s="50"/>
      <c r="BK177" s="50"/>
      <c r="BL177" s="50"/>
      <c r="BO177" s="139"/>
    </row>
    <row r="178" spans="2:67" s="41" customFormat="1" ht="12.75" customHeight="1">
      <c r="C178" s="84" t="s">
        <v>252</v>
      </c>
      <c r="E178" s="48">
        <v>223</v>
      </c>
      <c r="F178" s="48">
        <v>223</v>
      </c>
      <c r="G178" s="48">
        <v>223</v>
      </c>
      <c r="H178" s="48">
        <v>223</v>
      </c>
      <c r="I178" s="48">
        <v>223</v>
      </c>
      <c r="J178" s="48">
        <v>223</v>
      </c>
      <c r="K178" s="48">
        <v>223</v>
      </c>
      <c r="L178" s="48">
        <v>223</v>
      </c>
      <c r="M178" s="48">
        <v>223</v>
      </c>
      <c r="N178" s="48">
        <v>223</v>
      </c>
      <c r="O178" s="48">
        <v>223</v>
      </c>
      <c r="P178" s="48">
        <v>223</v>
      </c>
      <c r="Q178" s="48">
        <v>223</v>
      </c>
      <c r="R178" s="48">
        <v>223</v>
      </c>
      <c r="S178" s="48">
        <v>248</v>
      </c>
      <c r="T178" s="48">
        <v>221</v>
      </c>
      <c r="U178" s="39">
        <v>48</v>
      </c>
      <c r="V178" s="39">
        <v>39</v>
      </c>
      <c r="W178" s="39">
        <v>56</v>
      </c>
      <c r="X178" s="39">
        <v>38</v>
      </c>
      <c r="Y178" s="50">
        <f>SUM(U178:X178)</f>
        <v>181</v>
      </c>
      <c r="Z178" s="39">
        <v>32</v>
      </c>
      <c r="AA178" s="39">
        <v>40</v>
      </c>
      <c r="AB178" s="39">
        <v>27</v>
      </c>
      <c r="AC178" s="39">
        <v>39</v>
      </c>
      <c r="AD178" s="50">
        <f>SUM(Z178:AC178)</f>
        <v>138</v>
      </c>
      <c r="AE178" s="39">
        <v>42</v>
      </c>
      <c r="AF178" s="39">
        <v>47</v>
      </c>
      <c r="AG178" s="39">
        <v>53</v>
      </c>
      <c r="AH178" s="39">
        <v>38</v>
      </c>
      <c r="AI178" s="50">
        <f>SUM(AE178:AH178)</f>
        <v>180</v>
      </c>
      <c r="AJ178" s="39">
        <v>37</v>
      </c>
      <c r="AK178" s="39">
        <v>45</v>
      </c>
      <c r="AL178" s="39">
        <v>40</v>
      </c>
      <c r="AM178" s="39">
        <v>105</v>
      </c>
      <c r="AN178" s="50">
        <f>SUM(AJ178:AM178)</f>
        <v>227</v>
      </c>
      <c r="AO178" s="39">
        <v>57</v>
      </c>
      <c r="AP178" s="39">
        <v>46</v>
      </c>
      <c r="AQ178" s="39">
        <v>57</v>
      </c>
      <c r="AR178" s="39">
        <v>84</v>
      </c>
      <c r="AS178" s="50">
        <f>SUM(AO178:AR178)</f>
        <v>244</v>
      </c>
      <c r="AT178" s="39">
        <v>47</v>
      </c>
      <c r="AU178" s="39">
        <v>57</v>
      </c>
      <c r="AV178" s="39">
        <v>80</v>
      </c>
      <c r="AW178" s="39">
        <v>44</v>
      </c>
      <c r="AX178" s="50">
        <f>SUM(AT178:AW178)</f>
        <v>228</v>
      </c>
      <c r="AY178" s="82">
        <f>AY151*AY143*AY139/1000000</f>
        <v>46.045900000000003</v>
      </c>
      <c r="AZ178" s="82">
        <f t="shared" ref="AZ178:BB178" si="804">AZ151*AZ143*AZ139/1000000</f>
        <v>55.842900000000014</v>
      </c>
      <c r="BA178" s="82">
        <f t="shared" si="804"/>
        <v>79.151999999999987</v>
      </c>
      <c r="BB178" s="82">
        <f t="shared" si="804"/>
        <v>43.533599999999993</v>
      </c>
      <c r="BC178" s="50">
        <f>SUM(AY178:BB178)</f>
        <v>224.57439999999997</v>
      </c>
      <c r="BD178" s="82">
        <f>BD151*BD143*BD139/1000000</f>
        <v>46.966818000000011</v>
      </c>
      <c r="BE178" s="82">
        <f t="shared" ref="BE178:BG178" si="805">BE151*BE143*BE139/1000000</f>
        <v>56.959758000000008</v>
      </c>
      <c r="BF178" s="82">
        <f t="shared" si="805"/>
        <v>80.735039999999984</v>
      </c>
      <c r="BG178" s="82">
        <f t="shared" si="805"/>
        <v>44.404271999999999</v>
      </c>
      <c r="BH178" s="50">
        <f>SUM(BD178:BG178)</f>
        <v>229.06588799999997</v>
      </c>
      <c r="BI178" s="50">
        <f t="shared" ref="BI178:BL178" si="806">BI151*BI143*BI139/1000000</f>
        <v>234.2873350908493</v>
      </c>
      <c r="BJ178" s="50">
        <f t="shared" si="806"/>
        <v>238.3201498752</v>
      </c>
      <c r="BK178" s="50">
        <f t="shared" si="806"/>
        <v>243.08655287270398</v>
      </c>
      <c r="BL178" s="50">
        <f t="shared" si="806"/>
        <v>247.94828393015808</v>
      </c>
    </row>
    <row r="179" spans="2:67" s="38" customFormat="1" ht="12.75" customHeight="1">
      <c r="C179" s="99" t="s">
        <v>74</v>
      </c>
      <c r="E179" s="56">
        <f t="shared" ref="E179:Q179" si="807">E178/E134</f>
        <v>0.10281235592438911</v>
      </c>
      <c r="F179" s="56">
        <f t="shared" si="807"/>
        <v>0.10281235592438911</v>
      </c>
      <c r="G179" s="56">
        <f t="shared" si="807"/>
        <v>0.10281235592438911</v>
      </c>
      <c r="H179" s="56">
        <f t="shared" si="807"/>
        <v>0.10281235592438911</v>
      </c>
      <c r="I179" s="56">
        <f t="shared" si="807"/>
        <v>0.10281235592438911</v>
      </c>
      <c r="J179" s="56">
        <f t="shared" si="807"/>
        <v>0.10281235592438911</v>
      </c>
      <c r="K179" s="56">
        <f t="shared" si="807"/>
        <v>0.10281235592438911</v>
      </c>
      <c r="L179" s="56">
        <f t="shared" si="807"/>
        <v>0.10281235592438911</v>
      </c>
      <c r="M179" s="56">
        <f t="shared" si="807"/>
        <v>0.10281235592438911</v>
      </c>
      <c r="N179" s="56">
        <f t="shared" si="807"/>
        <v>0.10281235592438911</v>
      </c>
      <c r="O179" s="56">
        <f t="shared" si="807"/>
        <v>0.10281235592438911</v>
      </c>
      <c r="P179" s="56">
        <f t="shared" si="807"/>
        <v>0.10281235592438911</v>
      </c>
      <c r="Q179" s="56">
        <f t="shared" si="807"/>
        <v>0.10281235592438911</v>
      </c>
      <c r="R179" s="56">
        <f t="shared" ref="R179" si="808">R178/R134</f>
        <v>0.10281235592438911</v>
      </c>
      <c r="S179" s="56">
        <f t="shared" ref="S179" si="809">S178/S134</f>
        <v>0.10896309314586995</v>
      </c>
      <c r="T179" s="56">
        <f t="shared" ref="T179" si="810">T178/T134</f>
        <v>0.10189027201475334</v>
      </c>
      <c r="U179" s="14">
        <f t="shared" ref="U179" si="811">U178/U134</f>
        <v>0.13043478260869565</v>
      </c>
      <c r="V179" s="14">
        <f t="shared" ref="V179" si="812">V178/V134</f>
        <v>0.28888888888888886</v>
      </c>
      <c r="W179" s="14">
        <f t="shared" ref="W179" si="813">W178/W134</f>
        <v>0.22134387351778656</v>
      </c>
      <c r="X179" s="14">
        <f t="shared" ref="X179" si="814">X178/X134</f>
        <v>0.17511520737327188</v>
      </c>
      <c r="Y179" s="56">
        <f>Y178/Y134</f>
        <v>0.18602261048304214</v>
      </c>
      <c r="Z179" s="14">
        <f t="shared" ref="Z179" si="815">Z178/Z134</f>
        <v>0.17204301075268819</v>
      </c>
      <c r="AA179" s="14">
        <f t="shared" ref="AA179" si="816">AA178/AA134</f>
        <v>0.17391304347826086</v>
      </c>
      <c r="AB179" s="14">
        <f t="shared" ref="AB179" si="817">AB178/AB134</f>
        <v>8.6538461538461536E-2</v>
      </c>
      <c r="AC179" s="14">
        <f t="shared" ref="AC179" si="818">AC178/AC134</f>
        <v>0.15116279069767441</v>
      </c>
      <c r="AD179" s="56">
        <f>AD178/AD134</f>
        <v>0.13995943204868155</v>
      </c>
      <c r="AE179" s="14">
        <f t="shared" ref="AE179" si="819">AE178/AE134</f>
        <v>0.16666666666666666</v>
      </c>
      <c r="AF179" s="14">
        <f t="shared" ref="AF179" si="820">AF178/AF134</f>
        <v>0.12668463611859837</v>
      </c>
      <c r="AG179" s="14">
        <f t="shared" ref="AG179" si="821">AG178/AG134</f>
        <v>0.11674008810572688</v>
      </c>
      <c r="AH179" s="14">
        <f t="shared" ref="AH179" si="822">AH178/AH134</f>
        <v>0.11585365853658537</v>
      </c>
      <c r="AI179" s="56">
        <f>AI178/AI134</f>
        <v>0.12811387900355872</v>
      </c>
      <c r="AJ179" s="14">
        <f t="shared" ref="AJ179:AM179" si="823">AJ178/AJ134</f>
        <v>0.1167192429022082</v>
      </c>
      <c r="AK179" s="14">
        <f t="shared" si="823"/>
        <v>0.1066350710900474</v>
      </c>
      <c r="AL179" s="14">
        <f t="shared" si="823"/>
        <v>7.5329566854990579E-2</v>
      </c>
      <c r="AM179" s="14">
        <f t="shared" si="823"/>
        <v>0.27704485488126651</v>
      </c>
      <c r="AN179" s="56">
        <f>AN178/AN134</f>
        <v>0.13765918738629473</v>
      </c>
      <c r="AO179" s="14">
        <f t="shared" ref="AO179:AT179" si="824">AO178/AO134</f>
        <v>0.16715542521994134</v>
      </c>
      <c r="AP179" s="14">
        <f t="shared" si="824"/>
        <v>0.10823529411764705</v>
      </c>
      <c r="AQ179" s="14">
        <f t="shared" si="824"/>
        <v>0.11089494163424124</v>
      </c>
      <c r="AR179" s="14">
        <f t="shared" si="824"/>
        <v>0.22641509433962265</v>
      </c>
      <c r="AS179" s="56">
        <f>AS178/AS134</f>
        <v>0.14778921865536038</v>
      </c>
      <c r="AT179" s="14">
        <f t="shared" si="824"/>
        <v>0.14551083591331268</v>
      </c>
      <c r="AU179" s="14">
        <f t="shared" ref="AU179:AW179" si="825">AU178/AU134</f>
        <v>0.12751677852348994</v>
      </c>
      <c r="AV179" s="14">
        <f t="shared" si="825"/>
        <v>0.14084507042253522</v>
      </c>
      <c r="AW179" s="14">
        <f t="shared" si="825"/>
        <v>0.10810810810810811</v>
      </c>
      <c r="AX179" s="56">
        <f>AX178/AX134</f>
        <v>0.13065902578796562</v>
      </c>
      <c r="AY179" s="14">
        <f t="shared" ref="AY179:BB179" si="826">AY178/AY134</f>
        <v>0.13921232705765912</v>
      </c>
      <c r="AZ179" s="14">
        <f t="shared" si="826"/>
        <v>0.12905363978423279</v>
      </c>
      <c r="BA179" s="14">
        <f t="shared" si="826"/>
        <v>0.14653687528439721</v>
      </c>
      <c r="BB179" s="14">
        <f t="shared" si="826"/>
        <v>0.11151103520983417</v>
      </c>
      <c r="BC179" s="56">
        <f>BC178/BC134</f>
        <v>0.13256900049935996</v>
      </c>
      <c r="BD179" s="14">
        <f t="shared" ref="BD179:BG179" si="827">BD178/BD134</f>
        <v>0.13921232705765918</v>
      </c>
      <c r="BE179" s="14">
        <f t="shared" si="827"/>
        <v>0.12905363978423276</v>
      </c>
      <c r="BF179" s="14">
        <f t="shared" si="827"/>
        <v>0.14653687528439721</v>
      </c>
      <c r="BG179" s="14">
        <f t="shared" si="827"/>
        <v>0.11151103520983417</v>
      </c>
      <c r="BH179" s="56">
        <f>BH178/BH134</f>
        <v>0.13256900049935999</v>
      </c>
      <c r="BI179" s="56">
        <f t="shared" ref="BI179" si="828">BI178/BI134</f>
        <v>0.13266023993110931</v>
      </c>
      <c r="BJ179" s="56">
        <f t="shared" ref="BJ179" si="829">BJ178/BJ134</f>
        <v>0.13266023993110931</v>
      </c>
      <c r="BK179" s="56">
        <f t="shared" ref="BK179" si="830">BK178/BK134</f>
        <v>0.13266023993110929</v>
      </c>
      <c r="BL179" s="56">
        <f t="shared" ref="BL179" si="831">BL178/BL134</f>
        <v>0.13266023993110934</v>
      </c>
      <c r="BO179" s="139"/>
    </row>
    <row r="180" spans="2:67" s="38" customFormat="1" ht="12.75" customHeight="1">
      <c r="C180" s="99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14"/>
      <c r="V180" s="14"/>
      <c r="W180" s="14"/>
      <c r="X180" s="14"/>
      <c r="Y180" s="56"/>
      <c r="Z180" s="14"/>
      <c r="AA180" s="14"/>
      <c r="AB180" s="14"/>
      <c r="AC180" s="14"/>
      <c r="AD180" s="56"/>
      <c r="AE180" s="14"/>
      <c r="AF180" s="14"/>
      <c r="AG180" s="14"/>
      <c r="AH180" s="14"/>
      <c r="AI180" s="56"/>
      <c r="AJ180" s="14"/>
      <c r="AK180" s="14"/>
      <c r="AL180" s="14"/>
      <c r="AM180" s="14"/>
      <c r="AN180" s="56"/>
      <c r="AO180" s="14"/>
      <c r="AP180" s="14"/>
      <c r="AQ180" s="14"/>
      <c r="AR180" s="14"/>
      <c r="AS180" s="56"/>
      <c r="AT180" s="14"/>
      <c r="AU180" s="14"/>
      <c r="AV180" s="14"/>
      <c r="AW180" s="14"/>
      <c r="AX180" s="56"/>
      <c r="AY180" s="136"/>
      <c r="AZ180" s="136"/>
      <c r="BA180" s="136"/>
      <c r="BB180" s="136"/>
      <c r="BC180" s="56"/>
      <c r="BD180" s="136"/>
      <c r="BE180" s="136"/>
      <c r="BF180" s="136"/>
      <c r="BG180" s="136"/>
      <c r="BH180" s="56"/>
      <c r="BI180" s="56"/>
      <c r="BJ180" s="56"/>
      <c r="BK180" s="56"/>
      <c r="BL180" s="56"/>
      <c r="BO180" s="139"/>
    </row>
    <row r="181" spans="2:67" s="41" customFormat="1" ht="12.75" customHeight="1">
      <c r="C181" s="84" t="s">
        <v>253</v>
      </c>
      <c r="E181" s="48">
        <v>75</v>
      </c>
      <c r="F181" s="48">
        <v>75</v>
      </c>
      <c r="G181" s="48">
        <v>75</v>
      </c>
      <c r="H181" s="48">
        <v>75</v>
      </c>
      <c r="I181" s="48">
        <v>75</v>
      </c>
      <c r="J181" s="48">
        <v>75</v>
      </c>
      <c r="K181" s="48">
        <v>75</v>
      </c>
      <c r="L181" s="48">
        <v>75</v>
      </c>
      <c r="M181" s="48">
        <v>75</v>
      </c>
      <c r="N181" s="48">
        <v>75</v>
      </c>
      <c r="O181" s="48">
        <v>75</v>
      </c>
      <c r="P181" s="48">
        <v>75</v>
      </c>
      <c r="Q181" s="48">
        <v>75</v>
      </c>
      <c r="R181" s="48">
        <v>75</v>
      </c>
      <c r="S181" s="48">
        <v>114</v>
      </c>
      <c r="T181" s="48">
        <v>97</v>
      </c>
      <c r="U181" s="39">
        <v>21</v>
      </c>
      <c r="V181" s="39">
        <v>23</v>
      </c>
      <c r="W181" s="39">
        <v>21</v>
      </c>
      <c r="X181" s="39">
        <v>21</v>
      </c>
      <c r="Y181" s="50">
        <f>SUM(U181:X181)</f>
        <v>86</v>
      </c>
      <c r="Z181" s="39">
        <v>20</v>
      </c>
      <c r="AA181" s="39">
        <v>21</v>
      </c>
      <c r="AB181" s="39">
        <v>8</v>
      </c>
      <c r="AC181" s="39">
        <v>10</v>
      </c>
      <c r="AD181" s="50">
        <f>SUM(Z181:AC181)</f>
        <v>59</v>
      </c>
      <c r="AE181" s="39">
        <v>3</v>
      </c>
      <c r="AF181" s="39">
        <v>10</v>
      </c>
      <c r="AG181" s="39">
        <v>-4</v>
      </c>
      <c r="AH181" s="39">
        <v>10</v>
      </c>
      <c r="AI181" s="50">
        <f>SUM(AE181:AH181)</f>
        <v>19</v>
      </c>
      <c r="AJ181" s="39">
        <v>18</v>
      </c>
      <c r="AK181" s="39">
        <v>19</v>
      </c>
      <c r="AL181" s="39">
        <v>30</v>
      </c>
      <c r="AM181" s="39">
        <v>32</v>
      </c>
      <c r="AN181" s="50">
        <f>SUM(AJ181:AM181)</f>
        <v>99</v>
      </c>
      <c r="AO181" s="39">
        <v>25</v>
      </c>
      <c r="AP181" s="39">
        <v>26</v>
      </c>
      <c r="AQ181" s="39">
        <v>33</v>
      </c>
      <c r="AR181" s="39">
        <v>27</v>
      </c>
      <c r="AS181" s="50">
        <f>SUM(AO181:AR181)</f>
        <v>111</v>
      </c>
      <c r="AT181" s="39">
        <v>23</v>
      </c>
      <c r="AU181" s="39">
        <v>23</v>
      </c>
      <c r="AV181" s="39">
        <v>27</v>
      </c>
      <c r="AW181" s="39">
        <v>25</v>
      </c>
      <c r="AX181" s="50">
        <f>SUM(AT181:AW181)</f>
        <v>98</v>
      </c>
      <c r="AY181" s="82">
        <f>AY152*AY143*AY139/1000000</f>
        <v>23.23</v>
      </c>
      <c r="AZ181" s="82">
        <f t="shared" ref="AZ181:BB181" si="832">AZ152*AZ143*AZ139/1000000</f>
        <v>23.23</v>
      </c>
      <c r="BA181" s="82">
        <f t="shared" si="832"/>
        <v>27.54</v>
      </c>
      <c r="BB181" s="82">
        <f t="shared" si="832"/>
        <v>25.499999999999996</v>
      </c>
      <c r="BC181" s="50">
        <f>SUM(AY181:BB181)</f>
        <v>99.5</v>
      </c>
      <c r="BD181" s="82">
        <f t="shared" ref="BD181:BG181" si="833">BD152*BD143*BD139/1000000</f>
        <v>23.694600000000001</v>
      </c>
      <c r="BE181" s="82">
        <f t="shared" si="833"/>
        <v>23.694600000000005</v>
      </c>
      <c r="BF181" s="82">
        <f t="shared" si="833"/>
        <v>28.090800000000005</v>
      </c>
      <c r="BG181" s="82">
        <f t="shared" si="833"/>
        <v>26.009999999999998</v>
      </c>
      <c r="BH181" s="50">
        <f>SUM(BD181:BG181)</f>
        <v>101.49000000000001</v>
      </c>
      <c r="BI181" s="50">
        <f t="shared" ref="BI181:BL181" si="834">BI152*BI143*BI139/1000000</f>
        <v>103.80341589041096</v>
      </c>
      <c r="BJ181" s="50">
        <f t="shared" si="834"/>
        <v>105.59019600000001</v>
      </c>
      <c r="BK181" s="50">
        <f t="shared" si="834"/>
        <v>107.70199991999999</v>
      </c>
      <c r="BL181" s="50">
        <f t="shared" si="834"/>
        <v>109.8560399184</v>
      </c>
    </row>
    <row r="182" spans="2:67" s="38" customFormat="1" ht="12.75" customHeight="1">
      <c r="C182" s="99" t="s">
        <v>74</v>
      </c>
      <c r="E182" s="56">
        <f t="shared" ref="E182:Q182" si="835">E181/E134</f>
        <v>3.4578146611341634E-2</v>
      </c>
      <c r="F182" s="56">
        <f t="shared" si="835"/>
        <v>3.4578146611341634E-2</v>
      </c>
      <c r="G182" s="56">
        <f t="shared" si="835"/>
        <v>3.4578146611341634E-2</v>
      </c>
      <c r="H182" s="56">
        <f t="shared" si="835"/>
        <v>3.4578146611341634E-2</v>
      </c>
      <c r="I182" s="56">
        <f t="shared" si="835"/>
        <v>3.4578146611341634E-2</v>
      </c>
      <c r="J182" s="56">
        <f t="shared" si="835"/>
        <v>3.4578146611341634E-2</v>
      </c>
      <c r="K182" s="56">
        <f t="shared" si="835"/>
        <v>3.4578146611341634E-2</v>
      </c>
      <c r="L182" s="56">
        <f t="shared" si="835"/>
        <v>3.4578146611341634E-2</v>
      </c>
      <c r="M182" s="56">
        <f t="shared" si="835"/>
        <v>3.4578146611341634E-2</v>
      </c>
      <c r="N182" s="56">
        <f t="shared" si="835"/>
        <v>3.4578146611341634E-2</v>
      </c>
      <c r="O182" s="56">
        <f t="shared" si="835"/>
        <v>3.4578146611341634E-2</v>
      </c>
      <c r="P182" s="56">
        <f t="shared" si="835"/>
        <v>3.4578146611341634E-2</v>
      </c>
      <c r="Q182" s="56">
        <f t="shared" si="835"/>
        <v>3.4578146611341634E-2</v>
      </c>
      <c r="R182" s="56">
        <f t="shared" ref="R182" si="836">R181/R134</f>
        <v>3.4578146611341634E-2</v>
      </c>
      <c r="S182" s="56">
        <f t="shared" ref="S182" si="837">S181/S134</f>
        <v>5.0087873462214411E-2</v>
      </c>
      <c r="T182" s="56">
        <f t="shared" ref="T182" si="838">T181/T134</f>
        <v>4.4721069617335178E-2</v>
      </c>
      <c r="U182" s="14">
        <f t="shared" ref="U182" si="839">U181/U134</f>
        <v>5.7065217391304345E-2</v>
      </c>
      <c r="V182" s="14">
        <f t="shared" ref="V182" si="840">V181/V134</f>
        <v>0.17037037037037037</v>
      </c>
      <c r="W182" s="14">
        <f t="shared" ref="W182" si="841">W181/W134</f>
        <v>8.3003952569169967E-2</v>
      </c>
      <c r="X182" s="14">
        <f t="shared" ref="X182" si="842">X181/X134</f>
        <v>9.6774193548387094E-2</v>
      </c>
      <c r="Y182" s="56">
        <f t="shared" ref="Y182" si="843">Y181/Y134</f>
        <v>8.8386433710174711E-2</v>
      </c>
      <c r="Z182" s="14">
        <f t="shared" ref="Z182" si="844">Z181/Z134</f>
        <v>0.10752688172043011</v>
      </c>
      <c r="AA182" s="14">
        <f t="shared" ref="AA182" si="845">AA181/AA134</f>
        <v>9.1304347826086957E-2</v>
      </c>
      <c r="AB182" s="14">
        <f t="shared" ref="AB182" si="846">AB181/AB134</f>
        <v>2.564102564102564E-2</v>
      </c>
      <c r="AC182" s="14">
        <f t="shared" ref="AC182" si="847">AC181/AC134</f>
        <v>3.875968992248062E-2</v>
      </c>
      <c r="AD182" s="56">
        <f t="shared" ref="AD182" si="848">AD181/AD134</f>
        <v>5.9837728194726165E-2</v>
      </c>
      <c r="AE182" s="14">
        <f t="shared" ref="AE182" si="849">AE181/AE134</f>
        <v>1.1904761904761904E-2</v>
      </c>
      <c r="AF182" s="14">
        <f t="shared" ref="AF182" si="850">AF181/AF134</f>
        <v>2.6954177897574125E-2</v>
      </c>
      <c r="AG182" s="14">
        <f t="shared" ref="AG182" si="851">AG181/AG134</f>
        <v>-8.8105726872246704E-3</v>
      </c>
      <c r="AH182" s="14">
        <f t="shared" ref="AH182" si="852">AH181/AH134</f>
        <v>3.048780487804878E-2</v>
      </c>
      <c r="AI182" s="56">
        <f t="shared" ref="AI182" si="853">AI181/AI134</f>
        <v>1.3523131672597865E-2</v>
      </c>
      <c r="AJ182" s="14">
        <f t="shared" ref="AJ182:AN182" si="854">AJ181/AJ134</f>
        <v>5.6782334384858045E-2</v>
      </c>
      <c r="AK182" s="14">
        <f t="shared" si="854"/>
        <v>4.5023696682464455E-2</v>
      </c>
      <c r="AL182" s="14">
        <f t="shared" si="854"/>
        <v>5.6497175141242938E-2</v>
      </c>
      <c r="AM182" s="14">
        <f t="shared" si="854"/>
        <v>8.4432717678100261E-2</v>
      </c>
      <c r="AN182" s="56">
        <f t="shared" si="854"/>
        <v>6.0036385688295939E-2</v>
      </c>
      <c r="AO182" s="14">
        <f t="shared" ref="AO182:AT182" si="855">AO181/AO134</f>
        <v>7.331378299120235E-2</v>
      </c>
      <c r="AP182" s="14">
        <f t="shared" si="855"/>
        <v>6.1176470588235297E-2</v>
      </c>
      <c r="AQ182" s="14">
        <f t="shared" si="855"/>
        <v>6.4202334630350189E-2</v>
      </c>
      <c r="AR182" s="14">
        <f t="shared" si="855"/>
        <v>7.277628032345014E-2</v>
      </c>
      <c r="AS182" s="56">
        <f t="shared" si="855"/>
        <v>6.7231980617807385E-2</v>
      </c>
      <c r="AT182" s="14">
        <f t="shared" si="855"/>
        <v>7.1207430340557279E-2</v>
      </c>
      <c r="AU182" s="14">
        <f t="shared" ref="AU182:BL182" si="856">AU181/AU134</f>
        <v>5.145413870246085E-2</v>
      </c>
      <c r="AV182" s="14">
        <f t="shared" si="856"/>
        <v>4.7535211267605633E-2</v>
      </c>
      <c r="AW182" s="14">
        <f t="shared" si="856"/>
        <v>6.1425061425061427E-2</v>
      </c>
      <c r="AX182" s="56">
        <f t="shared" si="856"/>
        <v>5.6160458452722065E-2</v>
      </c>
      <c r="AY182" s="14">
        <f t="shared" si="856"/>
        <v>7.0232145696998455E-2</v>
      </c>
      <c r="AZ182" s="14">
        <f t="shared" si="856"/>
        <v>5.3684820311762582E-2</v>
      </c>
      <c r="BA182" s="14">
        <f t="shared" si="856"/>
        <v>5.0985768462354704E-2</v>
      </c>
      <c r="BB182" s="14">
        <f t="shared" si="856"/>
        <v>6.5318085291608582E-2</v>
      </c>
      <c r="BC182" s="56">
        <f t="shared" si="856"/>
        <v>5.8736060520194283E-2</v>
      </c>
      <c r="BD182" s="14">
        <f t="shared" si="856"/>
        <v>7.0232145696998483E-2</v>
      </c>
      <c r="BE182" s="14">
        <f t="shared" si="856"/>
        <v>5.3684820311762589E-2</v>
      </c>
      <c r="BF182" s="14">
        <f t="shared" si="856"/>
        <v>5.0985768462354718E-2</v>
      </c>
      <c r="BG182" s="14">
        <f t="shared" si="856"/>
        <v>6.5318085291608582E-2</v>
      </c>
      <c r="BH182" s="56">
        <f t="shared" ref="BH182" si="857">BH181/BH134</f>
        <v>5.873606052019429E-2</v>
      </c>
      <c r="BI182" s="56">
        <f t="shared" si="856"/>
        <v>5.877648508977594E-2</v>
      </c>
      <c r="BJ182" s="56">
        <f t="shared" si="856"/>
        <v>5.877648508977594E-2</v>
      </c>
      <c r="BK182" s="56">
        <f t="shared" si="856"/>
        <v>5.8776485089775926E-2</v>
      </c>
      <c r="BL182" s="56">
        <f t="shared" si="856"/>
        <v>5.8776485089775947E-2</v>
      </c>
      <c r="BO182" s="139"/>
    </row>
    <row r="183" spans="2:67" s="41" customFormat="1" ht="12.75" customHeight="1"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8"/>
      <c r="V183" s="58"/>
      <c r="W183" s="58"/>
      <c r="X183" s="58"/>
      <c r="Y183" s="57"/>
      <c r="Z183" s="58"/>
      <c r="AA183" s="58"/>
      <c r="AB183" s="58"/>
      <c r="AC183" s="58"/>
      <c r="AD183" s="57"/>
      <c r="AE183" s="58"/>
      <c r="AF183" s="58"/>
      <c r="AG183" s="58"/>
      <c r="AH183" s="58"/>
      <c r="AI183" s="57"/>
      <c r="AJ183" s="58"/>
      <c r="AK183" s="58"/>
      <c r="AL183" s="58"/>
      <c r="AM183" s="58"/>
      <c r="AN183" s="57"/>
      <c r="AO183" s="58"/>
      <c r="AP183" s="58"/>
      <c r="AQ183" s="58"/>
      <c r="AR183" s="58"/>
      <c r="AS183" s="57"/>
      <c r="AT183" s="58"/>
      <c r="AU183" s="58"/>
      <c r="AV183" s="58"/>
      <c r="AW183" s="58"/>
      <c r="AX183" s="57"/>
      <c r="AY183" s="58"/>
      <c r="AZ183" s="58"/>
      <c r="BA183" s="58"/>
      <c r="BB183" s="58"/>
      <c r="BC183" s="57"/>
      <c r="BD183" s="58"/>
      <c r="BE183" s="58"/>
      <c r="BF183" s="58"/>
      <c r="BG183" s="58"/>
      <c r="BH183" s="57"/>
      <c r="BI183" s="57"/>
      <c r="BJ183" s="57"/>
      <c r="BK183" s="57"/>
      <c r="BL183" s="57"/>
    </row>
    <row r="184" spans="2:67" s="41" customFormat="1" ht="12.75" customHeight="1">
      <c r="C184" s="41" t="s">
        <v>3</v>
      </c>
      <c r="E184" s="124">
        <f t="shared" ref="E184:Q184" si="858">E134-E172-E169-E178-E181-E175</f>
        <v>149</v>
      </c>
      <c r="F184" s="124">
        <f t="shared" si="858"/>
        <v>149</v>
      </c>
      <c r="G184" s="124">
        <f t="shared" si="858"/>
        <v>149</v>
      </c>
      <c r="H184" s="124">
        <f t="shared" si="858"/>
        <v>149</v>
      </c>
      <c r="I184" s="124">
        <f t="shared" si="858"/>
        <v>149</v>
      </c>
      <c r="J184" s="124">
        <f t="shared" si="858"/>
        <v>149</v>
      </c>
      <c r="K184" s="124">
        <f t="shared" si="858"/>
        <v>149</v>
      </c>
      <c r="L184" s="124">
        <f t="shared" si="858"/>
        <v>149</v>
      </c>
      <c r="M184" s="124">
        <f t="shared" si="858"/>
        <v>149</v>
      </c>
      <c r="N184" s="124">
        <f t="shared" si="858"/>
        <v>149</v>
      </c>
      <c r="O184" s="124">
        <f t="shared" si="858"/>
        <v>149</v>
      </c>
      <c r="P184" s="124">
        <f t="shared" si="858"/>
        <v>149</v>
      </c>
      <c r="Q184" s="124">
        <f t="shared" si="858"/>
        <v>149</v>
      </c>
      <c r="R184" s="124">
        <f t="shared" ref="R184" si="859">R134-R172-R169-R178-R181-R175</f>
        <v>149</v>
      </c>
      <c r="S184" s="124">
        <f t="shared" ref="S184" si="860">S134-S172-S169-S178-S181-S175</f>
        <v>148</v>
      </c>
      <c r="T184" s="124">
        <f t="shared" ref="T184" si="861">T134-T172-T169-T178-T181-T175</f>
        <v>87</v>
      </c>
      <c r="U184" s="125">
        <f t="shared" ref="U184:AT184" si="862">U134-U172-U169-U178-U181-U175</f>
        <v>-58</v>
      </c>
      <c r="V184" s="125">
        <f t="shared" si="862"/>
        <v>-147</v>
      </c>
      <c r="W184" s="125">
        <f t="shared" si="862"/>
        <v>-65</v>
      </c>
      <c r="X184" s="125">
        <f t="shared" si="862"/>
        <v>-54</v>
      </c>
      <c r="Y184" s="49">
        <f t="shared" si="862"/>
        <v>-324</v>
      </c>
      <c r="Z184" s="125">
        <f t="shared" si="862"/>
        <v>-28</v>
      </c>
      <c r="AA184" s="125">
        <f t="shared" si="862"/>
        <v>-25</v>
      </c>
      <c r="AB184" s="125">
        <f t="shared" si="862"/>
        <v>64</v>
      </c>
      <c r="AC184" s="125">
        <f t="shared" si="862"/>
        <v>3</v>
      </c>
      <c r="AD184" s="49">
        <f t="shared" si="862"/>
        <v>14</v>
      </c>
      <c r="AE184" s="125">
        <f t="shared" ref="AE184:AN184" si="863">AE134-AE172-AE169-AE178-AE181-AE175</f>
        <v>19</v>
      </c>
      <c r="AF184" s="125">
        <f t="shared" si="863"/>
        <v>68</v>
      </c>
      <c r="AG184" s="125">
        <f t="shared" si="863"/>
        <v>154</v>
      </c>
      <c r="AH184" s="125">
        <f t="shared" si="863"/>
        <v>76</v>
      </c>
      <c r="AI184" s="49">
        <f t="shared" si="863"/>
        <v>317</v>
      </c>
      <c r="AJ184" s="125">
        <f t="shared" si="863"/>
        <v>46</v>
      </c>
      <c r="AK184" s="125">
        <f t="shared" si="863"/>
        <v>87</v>
      </c>
      <c r="AL184" s="125">
        <f t="shared" si="863"/>
        <v>113</v>
      </c>
      <c r="AM184" s="125">
        <f t="shared" si="863"/>
        <v>-78</v>
      </c>
      <c r="AN184" s="49">
        <f t="shared" si="863"/>
        <v>168</v>
      </c>
      <c r="AO184" s="125">
        <f t="shared" si="862"/>
        <v>-54</v>
      </c>
      <c r="AP184" s="125">
        <f t="shared" si="862"/>
        <v>-24</v>
      </c>
      <c r="AQ184" s="125">
        <f t="shared" si="862"/>
        <v>35</v>
      </c>
      <c r="AR184" s="125">
        <f t="shared" si="862"/>
        <v>-58</v>
      </c>
      <c r="AS184" s="49">
        <f t="shared" si="862"/>
        <v>-101</v>
      </c>
      <c r="AT184" s="125">
        <f t="shared" si="862"/>
        <v>-30</v>
      </c>
      <c r="AU184" s="125">
        <f t="shared" ref="AU184:BL184" si="864">AU134-AU172-AU169-AU178-AU181-AU175</f>
        <v>10</v>
      </c>
      <c r="AV184" s="125">
        <f t="shared" si="864"/>
        <v>58</v>
      </c>
      <c r="AW184" s="125">
        <f t="shared" si="864"/>
        <v>-17</v>
      </c>
      <c r="AX184" s="49">
        <f t="shared" si="864"/>
        <v>21</v>
      </c>
      <c r="AY184" s="125">
        <f t="shared" si="864"/>
        <v>-13.862179456249873</v>
      </c>
      <c r="AZ184" s="125">
        <f t="shared" si="864"/>
        <v>12.44937122167811</v>
      </c>
      <c r="BA184" s="125">
        <f t="shared" si="864"/>
        <v>47.856728930056867</v>
      </c>
      <c r="BB184" s="125">
        <f t="shared" si="864"/>
        <v>-19.083363367039677</v>
      </c>
      <c r="BC184" s="49">
        <f t="shared" si="864"/>
        <v>27.360557328445623</v>
      </c>
      <c r="BD184" s="125">
        <f t="shared" si="864"/>
        <v>-8.0017581453749642</v>
      </c>
      <c r="BE184" s="125">
        <f t="shared" si="864"/>
        <v>20.500222746111735</v>
      </c>
      <c r="BF184" s="125">
        <f t="shared" si="864"/>
        <v>57.709980708658051</v>
      </c>
      <c r="BG184" s="125">
        <f t="shared" si="864"/>
        <v>-11.586712434380431</v>
      </c>
      <c r="BH184" s="49">
        <f t="shared" ref="BH184" si="865">BH134-BH172-BH169-BH178-BH181-BH175</f>
        <v>58.621732875014573</v>
      </c>
      <c r="BI184" s="49">
        <f t="shared" si="864"/>
        <v>60.013693963842982</v>
      </c>
      <c r="BJ184" s="49">
        <f t="shared" si="864"/>
        <v>60.319246389778229</v>
      </c>
      <c r="BK184" s="49">
        <f t="shared" si="864"/>
        <v>61.805631317573727</v>
      </c>
      <c r="BL184" s="49">
        <f t="shared" si="864"/>
        <v>63.321743943924872</v>
      </c>
    </row>
    <row r="185" spans="2:67" s="41" customFormat="1" ht="12.75" customHeight="1">
      <c r="C185" s="126" t="s">
        <v>69</v>
      </c>
      <c r="E185" s="57">
        <f t="shared" ref="E185:Q185" si="866">E184/E134</f>
        <v>6.8695251267865381E-2</v>
      </c>
      <c r="F185" s="57">
        <f t="shared" si="866"/>
        <v>6.8695251267865381E-2</v>
      </c>
      <c r="G185" s="57">
        <f t="shared" si="866"/>
        <v>6.8695251267865381E-2</v>
      </c>
      <c r="H185" s="57">
        <f t="shared" si="866"/>
        <v>6.8695251267865381E-2</v>
      </c>
      <c r="I185" s="57">
        <f t="shared" si="866"/>
        <v>6.8695251267865381E-2</v>
      </c>
      <c r="J185" s="57">
        <f t="shared" si="866"/>
        <v>6.8695251267865381E-2</v>
      </c>
      <c r="K185" s="57">
        <f t="shared" si="866"/>
        <v>6.8695251267865381E-2</v>
      </c>
      <c r="L185" s="57">
        <f t="shared" si="866"/>
        <v>6.8695251267865381E-2</v>
      </c>
      <c r="M185" s="57">
        <f t="shared" si="866"/>
        <v>6.8695251267865381E-2</v>
      </c>
      <c r="N185" s="57">
        <f t="shared" si="866"/>
        <v>6.8695251267865381E-2</v>
      </c>
      <c r="O185" s="57">
        <f t="shared" si="866"/>
        <v>6.8695251267865381E-2</v>
      </c>
      <c r="P185" s="57">
        <f t="shared" si="866"/>
        <v>6.8695251267865381E-2</v>
      </c>
      <c r="Q185" s="57">
        <f t="shared" si="866"/>
        <v>6.8695251267865381E-2</v>
      </c>
      <c r="R185" s="57">
        <f t="shared" ref="R185" si="867">R184/R134</f>
        <v>6.8695251267865381E-2</v>
      </c>
      <c r="S185" s="57">
        <f t="shared" ref="S185" si="868">S184/S134</f>
        <v>6.5026362038664326E-2</v>
      </c>
      <c r="T185" s="57">
        <f t="shared" ref="T185" si="869">T184/T134</f>
        <v>4.0110650069156296E-2</v>
      </c>
      <c r="U185" s="58">
        <f t="shared" ref="U185" si="870">U184/U134</f>
        <v>-0.15760869565217392</v>
      </c>
      <c r="V185" s="58">
        <f t="shared" ref="V185" si="871">V184/V134</f>
        <v>-1.0888888888888888</v>
      </c>
      <c r="W185" s="58">
        <f t="shared" ref="W185" si="872">W184/W134</f>
        <v>-0.25691699604743085</v>
      </c>
      <c r="X185" s="58">
        <f t="shared" ref="X185" si="873">X184/X134</f>
        <v>-0.24884792626728111</v>
      </c>
      <c r="Y185" s="57">
        <f t="shared" ref="Y185" si="874">Y184/Y134</f>
        <v>-0.33299075025693731</v>
      </c>
      <c r="Z185" s="58">
        <f t="shared" ref="Z185" si="875">Z184/Z134</f>
        <v>-0.15053763440860216</v>
      </c>
      <c r="AA185" s="58">
        <f t="shared" ref="AA185" si="876">AA184/AA134</f>
        <v>-0.10869565217391304</v>
      </c>
      <c r="AB185" s="58">
        <f t="shared" ref="AB185" si="877">AB184/AB134</f>
        <v>0.20512820512820512</v>
      </c>
      <c r="AC185" s="58">
        <f t="shared" ref="AC185" si="878">AC184/AC134</f>
        <v>1.1627906976744186E-2</v>
      </c>
      <c r="AD185" s="57">
        <f t="shared" ref="AD185" si="879">AD184/AD134</f>
        <v>1.4198782961460446E-2</v>
      </c>
      <c r="AE185" s="58">
        <f t="shared" ref="AE185" si="880">AE184/AE134</f>
        <v>7.5396825396825393E-2</v>
      </c>
      <c r="AF185" s="58">
        <f t="shared" ref="AF185" si="881">AF184/AF134</f>
        <v>0.18328840970350405</v>
      </c>
      <c r="AG185" s="58">
        <f t="shared" ref="AG185" si="882">AG184/AG134</f>
        <v>0.33920704845814981</v>
      </c>
      <c r="AH185" s="58">
        <f t="shared" ref="AH185" si="883">AH184/AH134</f>
        <v>0.23170731707317074</v>
      </c>
      <c r="AI185" s="57">
        <f t="shared" ref="AI185" si="884">AI184/AI134</f>
        <v>0.22562277580071174</v>
      </c>
      <c r="AJ185" s="58">
        <f t="shared" ref="AJ185:AN185" si="885">AJ184/AJ134</f>
        <v>0.14511041009463724</v>
      </c>
      <c r="AK185" s="58">
        <f t="shared" si="885"/>
        <v>0.20616113744075829</v>
      </c>
      <c r="AL185" s="58">
        <f t="shared" si="885"/>
        <v>0.2128060263653484</v>
      </c>
      <c r="AM185" s="58">
        <f t="shared" si="885"/>
        <v>-0.20580474934036938</v>
      </c>
      <c r="AN185" s="57">
        <f t="shared" si="885"/>
        <v>0.10187992722862341</v>
      </c>
      <c r="AO185" s="58">
        <f t="shared" ref="AO185:AT185" si="886">AO184/AO134</f>
        <v>-0.15835777126099707</v>
      </c>
      <c r="AP185" s="58">
        <f t="shared" si="886"/>
        <v>-5.647058823529412E-2</v>
      </c>
      <c r="AQ185" s="58">
        <f t="shared" si="886"/>
        <v>6.8093385214007776E-2</v>
      </c>
      <c r="AR185" s="58">
        <f t="shared" si="886"/>
        <v>-0.15633423180592992</v>
      </c>
      <c r="AS185" s="57">
        <f t="shared" si="886"/>
        <v>-6.1175045427013929E-2</v>
      </c>
      <c r="AT185" s="58">
        <f t="shared" si="886"/>
        <v>-9.2879256965944276E-2</v>
      </c>
      <c r="AU185" s="58">
        <f t="shared" ref="AU185:BL185" si="887">AU184/AU134</f>
        <v>2.2371364653243849E-2</v>
      </c>
      <c r="AV185" s="58">
        <f t="shared" si="887"/>
        <v>0.10211267605633803</v>
      </c>
      <c r="AW185" s="58">
        <f t="shared" si="887"/>
        <v>-4.1769041769041768E-2</v>
      </c>
      <c r="AX185" s="57">
        <f t="shared" si="887"/>
        <v>1.2034383954154728E-2</v>
      </c>
      <c r="AY185" s="58">
        <f t="shared" si="887"/>
        <v>-4.1910056274183378E-2</v>
      </c>
      <c r="AZ185" s="58">
        <f t="shared" si="887"/>
        <v>2.8770652476548322E-2</v>
      </c>
      <c r="BA185" s="58">
        <f t="shared" si="887"/>
        <v>8.8598841706374429E-2</v>
      </c>
      <c r="BB185" s="58">
        <f t="shared" si="887"/>
        <v>-4.8881912002315946E-2</v>
      </c>
      <c r="BC185" s="57">
        <f t="shared" si="887"/>
        <v>1.6151269860400275E-2</v>
      </c>
      <c r="BD185" s="58">
        <f t="shared" si="887"/>
        <v>-2.3717667481118854E-2</v>
      </c>
      <c r="BE185" s="58">
        <f t="shared" si="887"/>
        <v>4.6447324473766871E-2</v>
      </c>
      <c r="BF185" s="58">
        <f t="shared" si="887"/>
        <v>0.10474560049477395</v>
      </c>
      <c r="BG185" s="58">
        <f t="shared" si="887"/>
        <v>-2.9097342216001642E-2</v>
      </c>
      <c r="BH185" s="57">
        <f t="shared" ref="BH185" si="888">BH184/BH134</f>
        <v>3.3926590303926682E-2</v>
      </c>
      <c r="BI185" s="57">
        <f t="shared" si="887"/>
        <v>3.3981482769046743E-2</v>
      </c>
      <c r="BJ185" s="57">
        <f t="shared" si="887"/>
        <v>3.3576538545825985E-2</v>
      </c>
      <c r="BK185" s="57">
        <f t="shared" si="887"/>
        <v>3.3729343654713077E-2</v>
      </c>
      <c r="BL185" s="57">
        <f t="shared" si="887"/>
        <v>3.387915258499441E-2</v>
      </c>
    </row>
    <row r="186" spans="2:67" s="41" customFormat="1" ht="12.75" customHeight="1">
      <c r="C186" s="123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57"/>
      <c r="U186" s="229"/>
      <c r="V186" s="58"/>
      <c r="W186" s="58"/>
      <c r="X186" s="58"/>
      <c r="Y186" s="57"/>
      <c r="Z186" s="229"/>
      <c r="AA186" s="58"/>
      <c r="AB186" s="58"/>
      <c r="AC186" s="58"/>
      <c r="AD186" s="57"/>
      <c r="AE186" s="229"/>
      <c r="AF186" s="58"/>
      <c r="AG186" s="58"/>
      <c r="AH186" s="58"/>
      <c r="AI186" s="57"/>
      <c r="AJ186" s="229"/>
      <c r="AK186" s="58"/>
      <c r="AL186" s="58"/>
      <c r="AM186" s="58"/>
      <c r="AN186" s="57"/>
      <c r="AO186" s="229"/>
      <c r="AP186" s="58"/>
      <c r="AQ186" s="58"/>
      <c r="AR186" s="58"/>
      <c r="AS186" s="57"/>
      <c r="AT186" s="229"/>
      <c r="AU186" s="58"/>
      <c r="AV186" s="58"/>
      <c r="AW186" s="58"/>
      <c r="AX186" s="57"/>
      <c r="AY186" s="229"/>
      <c r="AZ186" s="58"/>
      <c r="BA186" s="58"/>
      <c r="BB186" s="58"/>
      <c r="BC186" s="57"/>
      <c r="BD186" s="58"/>
      <c r="BE186" s="58"/>
      <c r="BF186" s="58"/>
      <c r="BG186" s="58"/>
      <c r="BH186" s="57"/>
      <c r="BI186" s="57"/>
      <c r="BJ186" s="57"/>
      <c r="BK186" s="57"/>
      <c r="BL186" s="57"/>
    </row>
    <row r="187" spans="2:67" s="41" customFormat="1" ht="12.75" customHeight="1">
      <c r="C187" s="123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58"/>
      <c r="V187" s="58"/>
      <c r="W187" s="58"/>
      <c r="X187" s="58"/>
      <c r="Y187" s="212"/>
      <c r="Z187" s="58"/>
      <c r="AA187" s="58"/>
      <c r="AB187" s="58"/>
      <c r="AC187" s="58"/>
      <c r="AD187" s="212"/>
      <c r="AE187" s="58"/>
      <c r="AF187" s="58"/>
      <c r="AG187" s="58"/>
      <c r="AH187" s="58"/>
      <c r="AI187" s="212"/>
      <c r="AJ187" s="58"/>
      <c r="AK187" s="58"/>
      <c r="AL187" s="58"/>
      <c r="AM187" s="58"/>
      <c r="AN187" s="212"/>
      <c r="AO187" s="58"/>
      <c r="AP187" s="58"/>
      <c r="AQ187" s="58"/>
      <c r="AR187" s="58"/>
      <c r="AS187" s="212"/>
      <c r="AT187" s="58"/>
      <c r="AU187" s="58"/>
      <c r="AV187" s="58"/>
      <c r="AW187" s="58"/>
      <c r="AX187" s="212"/>
      <c r="AY187" s="58"/>
      <c r="AZ187" s="58"/>
      <c r="BA187" s="58"/>
      <c r="BB187" s="58"/>
      <c r="BC187" s="57"/>
      <c r="BD187" s="58"/>
      <c r="BE187" s="58"/>
      <c r="BF187" s="58"/>
      <c r="BG187" s="58"/>
      <c r="BH187" s="57"/>
      <c r="BI187" s="57"/>
      <c r="BJ187" s="57"/>
      <c r="BK187" s="57"/>
      <c r="BL187" s="57"/>
    </row>
    <row r="188" spans="2:67" s="41" customFormat="1" ht="12.75" customHeight="1">
      <c r="B188" s="203" t="s">
        <v>256</v>
      </c>
      <c r="C188" s="204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8"/>
      <c r="V188" s="58"/>
      <c r="W188" s="58"/>
      <c r="X188" s="58"/>
      <c r="Y188" s="57"/>
      <c r="Z188" s="58"/>
      <c r="AA188" s="58"/>
      <c r="AB188" s="58"/>
      <c r="AC188" s="58"/>
      <c r="AD188" s="57"/>
      <c r="AE188" s="58"/>
      <c r="AF188" s="58"/>
      <c r="AG188" s="58"/>
      <c r="AH188" s="58"/>
      <c r="AI188" s="57"/>
      <c r="AJ188" s="58"/>
      <c r="AK188" s="58"/>
      <c r="AL188" s="58"/>
      <c r="AM188" s="58"/>
      <c r="AN188" s="57"/>
      <c r="AO188" s="58"/>
      <c r="AP188" s="58"/>
      <c r="AQ188" s="58"/>
      <c r="AR188" s="58"/>
      <c r="AS188" s="57"/>
      <c r="AT188" s="58"/>
      <c r="AU188" s="58"/>
      <c r="AV188" s="58"/>
      <c r="AW188" s="58"/>
      <c r="AX188" s="57"/>
      <c r="AY188" s="58"/>
      <c r="AZ188" s="58"/>
      <c r="BA188" s="58"/>
      <c r="BB188" s="58"/>
      <c r="BC188" s="57"/>
      <c r="BD188" s="58"/>
      <c r="BE188" s="58"/>
      <c r="BF188" s="58"/>
      <c r="BG188" s="58"/>
      <c r="BH188" s="57"/>
      <c r="BI188" s="57"/>
      <c r="BJ188" s="57"/>
      <c r="BK188" s="57"/>
      <c r="BL188" s="57"/>
    </row>
    <row r="189" spans="2:67" s="41" customFormat="1" ht="12.75" customHeight="1">
      <c r="C189" s="123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8"/>
      <c r="V189" s="58"/>
      <c r="W189" s="58"/>
      <c r="X189" s="58"/>
      <c r="Y189" s="57"/>
      <c r="Z189" s="58"/>
      <c r="AA189" s="58"/>
      <c r="AB189" s="58"/>
      <c r="AC189" s="58"/>
      <c r="AD189" s="57"/>
      <c r="AE189" s="58"/>
      <c r="AF189" s="58"/>
      <c r="AG189" s="58"/>
      <c r="AH189" s="58"/>
      <c r="AI189" s="57"/>
      <c r="AJ189" s="58"/>
      <c r="AK189" s="58"/>
      <c r="AL189" s="58"/>
      <c r="AM189" s="58"/>
      <c r="AN189" s="57"/>
      <c r="AO189" s="58"/>
      <c r="AP189" s="58"/>
      <c r="AQ189" s="58"/>
      <c r="AR189" s="58"/>
      <c r="AS189" s="57"/>
      <c r="AT189" s="58"/>
      <c r="AU189" s="58"/>
      <c r="AV189" s="58"/>
      <c r="AW189" s="58"/>
      <c r="AX189" s="57"/>
      <c r="AY189" s="58"/>
      <c r="AZ189" s="58"/>
      <c r="BA189" s="58"/>
      <c r="BB189" s="58"/>
      <c r="BC189" s="57"/>
      <c r="BD189" s="58"/>
      <c r="BE189" s="58"/>
      <c r="BF189" s="58"/>
      <c r="BG189" s="58"/>
      <c r="BH189" s="57"/>
      <c r="BI189" s="57"/>
      <c r="BJ189" s="57"/>
      <c r="BK189" s="57"/>
      <c r="BL189" s="57"/>
    </row>
    <row r="190" spans="2:67" s="41" customFormat="1" ht="12.75" customHeight="1">
      <c r="C190" s="84" t="s">
        <v>40</v>
      </c>
      <c r="E190" s="48">
        <v>640</v>
      </c>
      <c r="F190" s="48">
        <v>640</v>
      </c>
      <c r="G190" s="48">
        <v>640</v>
      </c>
      <c r="H190" s="48">
        <v>640</v>
      </c>
      <c r="I190" s="48">
        <v>640</v>
      </c>
      <c r="J190" s="48">
        <v>640</v>
      </c>
      <c r="K190" s="48">
        <v>640</v>
      </c>
      <c r="L190" s="48">
        <v>640</v>
      </c>
      <c r="M190" s="48">
        <v>640</v>
      </c>
      <c r="N190" s="48">
        <v>640</v>
      </c>
      <c r="O190" s="48">
        <v>640</v>
      </c>
      <c r="P190" s="48">
        <v>640</v>
      </c>
      <c r="Q190" s="48">
        <v>640</v>
      </c>
      <c r="R190" s="48">
        <v>640</v>
      </c>
      <c r="S190" s="48">
        <v>748</v>
      </c>
      <c r="T190" s="48">
        <v>672</v>
      </c>
      <c r="U190" s="39">
        <v>174</v>
      </c>
      <c r="V190" s="39">
        <v>164</v>
      </c>
      <c r="W190" s="39">
        <v>149</v>
      </c>
      <c r="X190" s="39">
        <v>142</v>
      </c>
      <c r="Y190" s="50">
        <f>SUM(U190:X190)</f>
        <v>629</v>
      </c>
      <c r="Z190" s="39">
        <f>1289-1153</f>
        <v>136</v>
      </c>
      <c r="AA190" s="58"/>
      <c r="AB190" s="58"/>
      <c r="AC190" s="58"/>
      <c r="AD190" s="50">
        <f>SUM(Z190:AC190)</f>
        <v>136</v>
      </c>
      <c r="AE190" s="58"/>
      <c r="AF190" s="58"/>
      <c r="AG190" s="58"/>
      <c r="AH190" s="58"/>
      <c r="AI190" s="57"/>
      <c r="AJ190" s="58"/>
      <c r="AK190" s="58"/>
      <c r="AL190" s="58"/>
      <c r="AM190" s="58"/>
      <c r="AN190" s="57"/>
      <c r="AO190" s="58"/>
      <c r="AP190" s="58"/>
      <c r="AQ190" s="58"/>
      <c r="AR190" s="58"/>
      <c r="AS190" s="57"/>
      <c r="AT190" s="58"/>
      <c r="AU190" s="58"/>
      <c r="AV190" s="58"/>
      <c r="AW190" s="58"/>
      <c r="AX190" s="57"/>
      <c r="AY190" s="58"/>
      <c r="AZ190" s="58"/>
      <c r="BA190" s="58"/>
      <c r="BB190" s="58"/>
      <c r="BC190" s="57"/>
      <c r="BD190" s="58"/>
      <c r="BE190" s="58"/>
      <c r="BF190" s="58"/>
      <c r="BG190" s="58"/>
      <c r="BH190" s="57"/>
      <c r="BI190" s="57"/>
      <c r="BJ190" s="57"/>
      <c r="BK190" s="57"/>
      <c r="BL190" s="57"/>
    </row>
    <row r="191" spans="2:67" s="41" customFormat="1" ht="12.75" customHeight="1">
      <c r="C191" s="84" t="s">
        <v>263</v>
      </c>
      <c r="E191" s="48">
        <f t="shared" ref="E191:Q191" si="889">4958-E117-E172</f>
        <v>34</v>
      </c>
      <c r="F191" s="48">
        <f t="shared" si="889"/>
        <v>34</v>
      </c>
      <c r="G191" s="48">
        <f t="shared" si="889"/>
        <v>34</v>
      </c>
      <c r="H191" s="48">
        <f t="shared" si="889"/>
        <v>34</v>
      </c>
      <c r="I191" s="48">
        <f t="shared" si="889"/>
        <v>34</v>
      </c>
      <c r="J191" s="48">
        <f t="shared" si="889"/>
        <v>34</v>
      </c>
      <c r="K191" s="48">
        <f t="shared" si="889"/>
        <v>34</v>
      </c>
      <c r="L191" s="48">
        <f t="shared" si="889"/>
        <v>34</v>
      </c>
      <c r="M191" s="48">
        <f t="shared" si="889"/>
        <v>34</v>
      </c>
      <c r="N191" s="48">
        <f t="shared" si="889"/>
        <v>34</v>
      </c>
      <c r="O191" s="48">
        <f t="shared" si="889"/>
        <v>34</v>
      </c>
      <c r="P191" s="48">
        <f t="shared" si="889"/>
        <v>34</v>
      </c>
      <c r="Q191" s="48">
        <f t="shared" si="889"/>
        <v>34</v>
      </c>
      <c r="R191" s="48">
        <f>4958-R117-R172</f>
        <v>34</v>
      </c>
      <c r="S191" s="48">
        <f>5355-S117-S172</f>
        <v>35</v>
      </c>
      <c r="T191" s="48">
        <f>5486-T117-T172</f>
        <v>28</v>
      </c>
      <c r="U191" s="39">
        <f>1241-U117-U172</f>
        <v>7</v>
      </c>
      <c r="V191" s="39">
        <f>704-V117-V172</f>
        <v>7</v>
      </c>
      <c r="W191" s="39">
        <f>832-W117-W172</f>
        <v>5</v>
      </c>
      <c r="X191" s="39">
        <f>851-X117-X172</f>
        <v>8</v>
      </c>
      <c r="Y191" s="50">
        <f>SUM(U191:X191)</f>
        <v>27</v>
      </c>
      <c r="Z191" s="39">
        <f>778-Z117-Z172</f>
        <v>13</v>
      </c>
      <c r="AA191" s="39">
        <f>946-AA117-AA172</f>
        <v>-1</v>
      </c>
      <c r="AB191" s="39">
        <f>1131-AB117-AB172</f>
        <v>-2</v>
      </c>
      <c r="AC191" s="39">
        <f>1065-AC117-AC172</f>
        <v>3</v>
      </c>
      <c r="AD191" s="50">
        <f>SUM(Z191:AC191)</f>
        <v>13</v>
      </c>
      <c r="AE191" s="39">
        <f>1053-AE117-AE172</f>
        <v>-1</v>
      </c>
      <c r="AF191" s="39">
        <f>1199-AF117-AF172</f>
        <v>0</v>
      </c>
      <c r="AG191" s="39">
        <f>1282-AG117-AG172</f>
        <v>-1</v>
      </c>
      <c r="AH191" s="39">
        <f>1274-AH117-AH172</f>
        <v>2</v>
      </c>
      <c r="AI191" s="50">
        <f>SUM(AE191:AH191)</f>
        <v>0</v>
      </c>
      <c r="AJ191" s="39">
        <f>1221-AJ117-AJ172</f>
        <v>0</v>
      </c>
      <c r="AK191" s="39">
        <f>1347-AK117-AK172</f>
        <v>-3</v>
      </c>
      <c r="AL191" s="39">
        <f>1499-AL117-AL172</f>
        <v>0</v>
      </c>
      <c r="AM191" s="39">
        <f>1388-AM117-AM172</f>
        <v>-4</v>
      </c>
      <c r="AN191" s="50">
        <f>SUM(AJ191:AM191)</f>
        <v>-7</v>
      </c>
      <c r="AO191" s="39">
        <f>1366-AO117-AO172</f>
        <v>-2</v>
      </c>
      <c r="AP191" s="39">
        <f>1440-AP117-AP172</f>
        <v>-3</v>
      </c>
      <c r="AQ191" s="39">
        <f>1470-AQ117-AQ172</f>
        <v>-3</v>
      </c>
      <c r="AR191" s="39">
        <f>1413-AR117-AR172</f>
        <v>0</v>
      </c>
      <c r="AS191" s="50">
        <f>SUM(AO191:AR191)</f>
        <v>-8</v>
      </c>
      <c r="AT191" s="39">
        <f>1274-AT117-AT172</f>
        <v>1</v>
      </c>
      <c r="AU191" s="39">
        <f>1394-AU117-AU172</f>
        <v>-1</v>
      </c>
      <c r="AV191" s="39">
        <f>1454-AV117-AV172</f>
        <v>1</v>
      </c>
      <c r="AW191" s="39">
        <f>1367-AW117-AW172</f>
        <v>-4</v>
      </c>
      <c r="AX191" s="50">
        <f>SUM(AT191:AW191)</f>
        <v>-3</v>
      </c>
      <c r="AY191" s="67">
        <f t="shared" ref="AY191:BB192" si="890">AT191</f>
        <v>1</v>
      </c>
      <c r="AZ191" s="67">
        <f t="shared" si="890"/>
        <v>-1</v>
      </c>
      <c r="BA191" s="67">
        <f t="shared" si="890"/>
        <v>1</v>
      </c>
      <c r="BB191" s="67">
        <f t="shared" si="890"/>
        <v>-4</v>
      </c>
      <c r="BC191" s="50">
        <f>SUM(AY191:BB191)</f>
        <v>-3</v>
      </c>
      <c r="BD191" s="67">
        <f t="shared" ref="BD191:BG192" si="891">AY191</f>
        <v>1</v>
      </c>
      <c r="BE191" s="67">
        <f t="shared" si="891"/>
        <v>-1</v>
      </c>
      <c r="BF191" s="67">
        <f t="shared" si="891"/>
        <v>1</v>
      </c>
      <c r="BG191" s="67">
        <f t="shared" si="891"/>
        <v>-4</v>
      </c>
      <c r="BH191" s="50">
        <f>SUM(BD191:BG191)</f>
        <v>-3</v>
      </c>
      <c r="BI191" s="140">
        <f>BH191</f>
        <v>-3</v>
      </c>
      <c r="BJ191" s="140">
        <f t="shared" ref="BJ191:BL192" si="892">BI191</f>
        <v>-3</v>
      </c>
      <c r="BK191" s="140">
        <f t="shared" si="892"/>
        <v>-3</v>
      </c>
      <c r="BL191" s="140">
        <f t="shared" si="892"/>
        <v>-3</v>
      </c>
    </row>
    <row r="192" spans="2:67" s="41" customFormat="1" ht="12.75" customHeight="1">
      <c r="C192" s="84" t="s">
        <v>262</v>
      </c>
      <c r="E192" s="48">
        <f t="shared" ref="E192:Q192" si="893">240-E175-E120</f>
        <v>26</v>
      </c>
      <c r="F192" s="48">
        <f t="shared" si="893"/>
        <v>26</v>
      </c>
      <c r="G192" s="48">
        <f t="shared" si="893"/>
        <v>26</v>
      </c>
      <c r="H192" s="48">
        <f t="shared" si="893"/>
        <v>26</v>
      </c>
      <c r="I192" s="48">
        <f t="shared" si="893"/>
        <v>26</v>
      </c>
      <c r="J192" s="48">
        <f t="shared" si="893"/>
        <v>26</v>
      </c>
      <c r="K192" s="48">
        <f t="shared" si="893"/>
        <v>26</v>
      </c>
      <c r="L192" s="48">
        <f t="shared" si="893"/>
        <v>26</v>
      </c>
      <c r="M192" s="48">
        <f t="shared" si="893"/>
        <v>26</v>
      </c>
      <c r="N192" s="48">
        <f t="shared" si="893"/>
        <v>26</v>
      </c>
      <c r="O192" s="48">
        <f t="shared" si="893"/>
        <v>26</v>
      </c>
      <c r="P192" s="48">
        <f t="shared" si="893"/>
        <v>26</v>
      </c>
      <c r="Q192" s="48">
        <f t="shared" si="893"/>
        <v>26</v>
      </c>
      <c r="R192" s="48">
        <f>240-R175-R120</f>
        <v>26</v>
      </c>
      <c r="S192" s="48">
        <f>218-S175-S120</f>
        <v>47</v>
      </c>
      <c r="T192" s="48">
        <f>203-T175-T120</f>
        <v>41</v>
      </c>
      <c r="U192" s="39">
        <f>53-U175-U120</f>
        <v>5</v>
      </c>
      <c r="V192" s="39">
        <f>57-V175-V120</f>
        <v>9</v>
      </c>
      <c r="W192" s="39">
        <f>58-W175-W120</f>
        <v>10</v>
      </c>
      <c r="X192" s="39">
        <f>57-X175-X120</f>
        <v>9</v>
      </c>
      <c r="Y192" s="50">
        <f>SUM(U192:X192)</f>
        <v>33</v>
      </c>
      <c r="Z192" s="39">
        <f>54-Z175-Z120</f>
        <v>5</v>
      </c>
      <c r="AA192" s="39">
        <f>50-AA175-AA120</f>
        <v>3</v>
      </c>
      <c r="AB192" s="39">
        <f>49-AB175-AB120</f>
        <v>4</v>
      </c>
      <c r="AC192" s="39">
        <f>43-AC175-AC120</f>
        <v>3</v>
      </c>
      <c r="AD192" s="50">
        <f>SUM(Z192:AC192)</f>
        <v>15</v>
      </c>
      <c r="AE192" s="39">
        <f>33-AE175-AE120</f>
        <v>4</v>
      </c>
      <c r="AF192" s="39">
        <f>36-AF175-AF120</f>
        <v>2</v>
      </c>
      <c r="AG192" s="39">
        <f>36-AG175-AG120</f>
        <v>4</v>
      </c>
      <c r="AH192" s="39">
        <f>37-AH175-AH120</f>
        <v>5</v>
      </c>
      <c r="AI192" s="50">
        <f>SUM(AE192:AH192)</f>
        <v>15</v>
      </c>
      <c r="AJ192" s="39">
        <f>35-AJ175-AJ120</f>
        <v>5</v>
      </c>
      <c r="AK192" s="39">
        <f>32-AK175-AK120</f>
        <v>2</v>
      </c>
      <c r="AL192" s="39">
        <f>33-AL175-AL120</f>
        <v>3</v>
      </c>
      <c r="AM192" s="39">
        <f>49-AM175-AM120</f>
        <v>3</v>
      </c>
      <c r="AN192" s="50">
        <f>SUM(AJ192:AM192)</f>
        <v>13</v>
      </c>
      <c r="AO192" s="39">
        <f>32-AO175-AO120</f>
        <v>3</v>
      </c>
      <c r="AP192" s="39">
        <f>41-AP175-AP120</f>
        <v>10</v>
      </c>
      <c r="AQ192" s="39">
        <f>34-AQ175-AQ120</f>
        <v>3</v>
      </c>
      <c r="AR192" s="39">
        <f>32-AR175-AR120</f>
        <v>1</v>
      </c>
      <c r="AS192" s="50">
        <f>SUM(AO192:AR192)</f>
        <v>17</v>
      </c>
      <c r="AT192" s="39">
        <f>30-AT175-AT120</f>
        <v>1</v>
      </c>
      <c r="AU192" s="39">
        <f>29-AU175-AU120</f>
        <v>2</v>
      </c>
      <c r="AV192" s="39">
        <f>29-AV175-AV120</f>
        <v>3</v>
      </c>
      <c r="AW192" s="39">
        <f>29-AW175-AW120</f>
        <v>1</v>
      </c>
      <c r="AX192" s="50">
        <f>SUM(AT192:AW192)</f>
        <v>7</v>
      </c>
      <c r="AY192" s="67">
        <f t="shared" si="890"/>
        <v>1</v>
      </c>
      <c r="AZ192" s="67">
        <f t="shared" si="890"/>
        <v>2</v>
      </c>
      <c r="BA192" s="67">
        <f t="shared" si="890"/>
        <v>3</v>
      </c>
      <c r="BB192" s="67">
        <f t="shared" si="890"/>
        <v>1</v>
      </c>
      <c r="BC192" s="50">
        <f>SUM(AY192:BB192)</f>
        <v>7</v>
      </c>
      <c r="BD192" s="67">
        <f t="shared" si="891"/>
        <v>1</v>
      </c>
      <c r="BE192" s="67">
        <f t="shared" si="891"/>
        <v>2</v>
      </c>
      <c r="BF192" s="67">
        <f t="shared" si="891"/>
        <v>3</v>
      </c>
      <c r="BG192" s="67">
        <f t="shared" si="891"/>
        <v>1</v>
      </c>
      <c r="BH192" s="50">
        <f>SUM(BD192:BG192)</f>
        <v>7</v>
      </c>
      <c r="BI192" s="140">
        <f>BH192</f>
        <v>7</v>
      </c>
      <c r="BJ192" s="140">
        <f t="shared" si="892"/>
        <v>7</v>
      </c>
      <c r="BK192" s="140">
        <f t="shared" si="892"/>
        <v>7</v>
      </c>
      <c r="BL192" s="140">
        <f t="shared" si="892"/>
        <v>7</v>
      </c>
    </row>
    <row r="193" spans="2:67" s="41" customFormat="1" ht="12.75" customHeight="1">
      <c r="C193" s="84" t="s">
        <v>282</v>
      </c>
      <c r="E193" s="48">
        <v>238</v>
      </c>
      <c r="F193" s="48">
        <v>238</v>
      </c>
      <c r="G193" s="48">
        <v>238</v>
      </c>
      <c r="H193" s="48">
        <v>238</v>
      </c>
      <c r="I193" s="48">
        <v>238</v>
      </c>
      <c r="J193" s="48">
        <v>238</v>
      </c>
      <c r="K193" s="48">
        <v>238</v>
      </c>
      <c r="L193" s="48">
        <v>238</v>
      </c>
      <c r="M193" s="48">
        <v>238</v>
      </c>
      <c r="N193" s="48">
        <v>238</v>
      </c>
      <c r="O193" s="48">
        <v>238</v>
      </c>
      <c r="P193" s="48">
        <v>238</v>
      </c>
      <c r="Q193" s="48">
        <v>238</v>
      </c>
      <c r="R193" s="48">
        <v>238</v>
      </c>
      <c r="S193" s="48">
        <v>346</v>
      </c>
      <c r="T193" s="48">
        <v>266</v>
      </c>
      <c r="U193" s="39">
        <v>72</v>
      </c>
      <c r="V193" s="39">
        <v>64</v>
      </c>
      <c r="W193" s="39">
        <v>48</v>
      </c>
      <c r="X193" s="39">
        <v>26</v>
      </c>
      <c r="Y193" s="50">
        <f>SUM(U193:X193)</f>
        <v>210</v>
      </c>
      <c r="Z193" s="39"/>
      <c r="AA193" s="39"/>
      <c r="AB193" s="39"/>
      <c r="AC193" s="39"/>
      <c r="AD193" s="50">
        <f>SUM(Z193:AC193)</f>
        <v>0</v>
      </c>
      <c r="AE193" s="39"/>
      <c r="AF193" s="39"/>
      <c r="AG193" s="39"/>
      <c r="AH193" s="39"/>
      <c r="AI193" s="50"/>
      <c r="AJ193" s="39"/>
      <c r="AK193" s="39"/>
      <c r="AL193" s="39"/>
      <c r="AM193" s="39"/>
      <c r="AN193" s="50"/>
      <c r="AO193" s="39"/>
      <c r="AP193" s="39"/>
      <c r="AQ193" s="39"/>
      <c r="AR193" s="39"/>
      <c r="AS193" s="50"/>
      <c r="AT193" s="39"/>
      <c r="AU193" s="39"/>
      <c r="AV193" s="39"/>
      <c r="AW193" s="39"/>
      <c r="AX193" s="50"/>
      <c r="AY193" s="82"/>
      <c r="AZ193" s="82"/>
      <c r="BA193" s="82"/>
      <c r="BB193" s="82"/>
      <c r="BC193" s="50"/>
      <c r="BD193" s="82"/>
      <c r="BE193" s="82"/>
      <c r="BF193" s="82"/>
      <c r="BG193" s="82"/>
      <c r="BH193" s="50"/>
      <c r="BI193" s="50"/>
      <c r="BJ193" s="50"/>
      <c r="BK193" s="50"/>
      <c r="BL193" s="50"/>
    </row>
    <row r="194" spans="2:67" s="41" customFormat="1" ht="12.75" customHeight="1">
      <c r="C194" s="123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8"/>
      <c r="V194" s="58"/>
      <c r="W194" s="58"/>
      <c r="X194" s="58"/>
      <c r="Y194" s="57"/>
      <c r="Z194" s="58"/>
      <c r="AA194" s="58"/>
      <c r="AB194" s="58"/>
      <c r="AC194" s="58"/>
      <c r="AD194" s="57"/>
      <c r="AE194" s="58"/>
      <c r="AF194" s="58"/>
      <c r="AG194" s="58"/>
      <c r="AH194" s="58"/>
      <c r="AI194" s="57"/>
      <c r="AJ194" s="58"/>
      <c r="AK194" s="58"/>
      <c r="AL194" s="58"/>
      <c r="AM194" s="58"/>
      <c r="AN194" s="57"/>
      <c r="AO194" s="58"/>
      <c r="AP194" s="58"/>
      <c r="AQ194" s="58"/>
      <c r="AR194" s="58"/>
      <c r="AS194" s="57"/>
      <c r="AT194" s="58"/>
      <c r="AU194" s="58"/>
      <c r="AV194" s="58"/>
      <c r="AW194" s="58"/>
      <c r="AX194" s="57"/>
      <c r="AY194" s="58"/>
      <c r="AZ194" s="58"/>
      <c r="BA194" s="58"/>
      <c r="BB194" s="58"/>
      <c r="BC194" s="57"/>
      <c r="BD194" s="58"/>
      <c r="BE194" s="58"/>
      <c r="BF194" s="58"/>
      <c r="BG194" s="58"/>
      <c r="BH194" s="57"/>
      <c r="BI194" s="57"/>
      <c r="BJ194" s="57"/>
      <c r="BK194" s="57"/>
      <c r="BL194" s="57"/>
    </row>
    <row r="195" spans="2:67" s="41" customFormat="1" ht="12.75" customHeight="1">
      <c r="C195" s="84" t="s">
        <v>252</v>
      </c>
      <c r="E195" s="48">
        <f t="shared" ref="E195:Q195" si="894">880-E178-E123</f>
        <v>265</v>
      </c>
      <c r="F195" s="48">
        <f t="shared" si="894"/>
        <v>265</v>
      </c>
      <c r="G195" s="48">
        <f t="shared" si="894"/>
        <v>265</v>
      </c>
      <c r="H195" s="48">
        <f t="shared" si="894"/>
        <v>265</v>
      </c>
      <c r="I195" s="48">
        <f t="shared" si="894"/>
        <v>265</v>
      </c>
      <c r="J195" s="48">
        <f t="shared" si="894"/>
        <v>265</v>
      </c>
      <c r="K195" s="48">
        <f t="shared" si="894"/>
        <v>265</v>
      </c>
      <c r="L195" s="48">
        <f t="shared" si="894"/>
        <v>265</v>
      </c>
      <c r="M195" s="48">
        <f t="shared" si="894"/>
        <v>265</v>
      </c>
      <c r="N195" s="48">
        <f t="shared" si="894"/>
        <v>265</v>
      </c>
      <c r="O195" s="48">
        <f t="shared" si="894"/>
        <v>265</v>
      </c>
      <c r="P195" s="48">
        <f t="shared" si="894"/>
        <v>265</v>
      </c>
      <c r="Q195" s="48">
        <f t="shared" si="894"/>
        <v>265</v>
      </c>
      <c r="R195" s="48">
        <f>880-R178-R123</f>
        <v>265</v>
      </c>
      <c r="S195" s="48">
        <f>1017-S178-S123</f>
        <v>303</v>
      </c>
      <c r="T195" s="48">
        <f>969-T178-T123</f>
        <v>258</v>
      </c>
      <c r="U195" s="39">
        <f>208-U178-U123</f>
        <v>45</v>
      </c>
      <c r="V195" s="39">
        <f>168-V178-V123</f>
        <v>66</v>
      </c>
      <c r="W195" s="39">
        <f>143-W178-W123</f>
        <v>41</v>
      </c>
      <c r="X195" s="39">
        <f>143-X178-X123</f>
        <v>55</v>
      </c>
      <c r="Y195" s="50">
        <f>SUM(U195:X195)</f>
        <v>207</v>
      </c>
      <c r="Z195" s="39">
        <f>151-Z178-Z123</f>
        <v>67</v>
      </c>
      <c r="AA195" s="39">
        <f>172-AA178-AA123</f>
        <v>63</v>
      </c>
      <c r="AB195" s="39">
        <f>177-AB178-AB123</f>
        <v>78</v>
      </c>
      <c r="AC195" s="39">
        <f>188-AC178-AC123</f>
        <v>59</v>
      </c>
      <c r="AD195" s="50">
        <f>SUM(Z195:AC195)</f>
        <v>267</v>
      </c>
      <c r="AE195" s="39">
        <f>235-AE178-AE123</f>
        <v>107</v>
      </c>
      <c r="AF195" s="39">
        <f>257-AF178-AF123</f>
        <v>111</v>
      </c>
      <c r="AG195" s="39">
        <f>246-AG178-AG123</f>
        <v>108</v>
      </c>
      <c r="AH195" s="39">
        <f>221-AH178-AH123</f>
        <v>102</v>
      </c>
      <c r="AI195" s="50">
        <f>SUM(AE195:AH195)</f>
        <v>428</v>
      </c>
      <c r="AJ195" s="39">
        <f>221-AJ178-AJ123</f>
        <v>79</v>
      </c>
      <c r="AK195" s="39">
        <f>285-AK178-AK123</f>
        <v>92</v>
      </c>
      <c r="AL195" s="39">
        <f>209-AL178-AL123</f>
        <v>55</v>
      </c>
      <c r="AM195" s="39">
        <f>247-AM178-AM123</f>
        <v>8</v>
      </c>
      <c r="AN195" s="50">
        <f>SUM(AJ195:AM195)</f>
        <v>234</v>
      </c>
      <c r="AO195" s="39">
        <f>162-AO178-AO123</f>
        <v>-19</v>
      </c>
      <c r="AP195" s="39">
        <f>243-AP178-AP123</f>
        <v>60</v>
      </c>
      <c r="AQ195" s="39">
        <f>189-AQ178-AQ123</f>
        <v>19</v>
      </c>
      <c r="AR195" s="39">
        <f>225-AR178-AR123</f>
        <v>33</v>
      </c>
      <c r="AS195" s="50">
        <f>SUM(AO195:AR195)</f>
        <v>93</v>
      </c>
      <c r="AT195" s="39">
        <f>219-AT178-AT123</f>
        <v>58</v>
      </c>
      <c r="AU195" s="39">
        <f>246-AU178-AU123</f>
        <v>57</v>
      </c>
      <c r="AV195" s="39">
        <f>241-AV178-AV123</f>
        <v>34</v>
      </c>
      <c r="AW195" s="39">
        <f>251-AW178-AW123</f>
        <v>76</v>
      </c>
      <c r="AX195" s="50">
        <f>SUM(AT195:AW195)</f>
        <v>225</v>
      </c>
      <c r="AY195" s="67">
        <f>AT195</f>
        <v>58</v>
      </c>
      <c r="AZ195" s="67">
        <f>AU195</f>
        <v>57</v>
      </c>
      <c r="BA195" s="67">
        <f>AV195</f>
        <v>34</v>
      </c>
      <c r="BB195" s="67">
        <f>AW195</f>
        <v>76</v>
      </c>
      <c r="BC195" s="50">
        <f>SUM(AY195:BB195)</f>
        <v>225</v>
      </c>
      <c r="BD195" s="67">
        <f>AY195</f>
        <v>58</v>
      </c>
      <c r="BE195" s="67">
        <f>AZ195</f>
        <v>57</v>
      </c>
      <c r="BF195" s="67">
        <f>BA195</f>
        <v>34</v>
      </c>
      <c r="BG195" s="67">
        <f>BB195</f>
        <v>76</v>
      </c>
      <c r="BH195" s="50">
        <f>SUM(BD195:BG195)</f>
        <v>225</v>
      </c>
      <c r="BI195" s="140">
        <f>BH195</f>
        <v>225</v>
      </c>
      <c r="BJ195" s="140">
        <f t="shared" ref="BJ195:BL195" si="895">BI195</f>
        <v>225</v>
      </c>
      <c r="BK195" s="140">
        <f t="shared" si="895"/>
        <v>225</v>
      </c>
      <c r="BL195" s="140">
        <f t="shared" si="895"/>
        <v>225</v>
      </c>
    </row>
    <row r="196" spans="2:67" s="38" customFormat="1" ht="12.75" customHeight="1">
      <c r="C196" s="99" t="s">
        <v>257</v>
      </c>
      <c r="E196" s="56">
        <f t="shared" ref="E196:Q196" si="896">E195/E202</f>
        <v>3.0103373849823922E-2</v>
      </c>
      <c r="F196" s="56">
        <f t="shared" si="896"/>
        <v>3.0103373849823922E-2</v>
      </c>
      <c r="G196" s="56">
        <f t="shared" si="896"/>
        <v>3.0103373849823922E-2</v>
      </c>
      <c r="H196" s="56">
        <f t="shared" si="896"/>
        <v>3.0103373849823922E-2</v>
      </c>
      <c r="I196" s="56">
        <f t="shared" si="896"/>
        <v>3.0103373849823922E-2</v>
      </c>
      <c r="J196" s="56">
        <f t="shared" si="896"/>
        <v>3.0103373849823922E-2</v>
      </c>
      <c r="K196" s="56">
        <f t="shared" si="896"/>
        <v>3.0103373849823922E-2</v>
      </c>
      <c r="L196" s="56">
        <f t="shared" si="896"/>
        <v>3.0103373849823922E-2</v>
      </c>
      <c r="M196" s="56">
        <f t="shared" si="896"/>
        <v>3.0103373849823922E-2</v>
      </c>
      <c r="N196" s="56">
        <f t="shared" si="896"/>
        <v>3.0103373849823922E-2</v>
      </c>
      <c r="O196" s="56">
        <f t="shared" si="896"/>
        <v>3.0103373849823922E-2</v>
      </c>
      <c r="P196" s="56">
        <f t="shared" si="896"/>
        <v>3.0103373849823922E-2</v>
      </c>
      <c r="Q196" s="56">
        <f t="shared" si="896"/>
        <v>3.0103373849823922E-2</v>
      </c>
      <c r="R196" s="56">
        <f t="shared" ref="R196:X196" si="897">R195/R202</f>
        <v>3.0103373849823922E-2</v>
      </c>
      <c r="S196" s="56">
        <f t="shared" si="897"/>
        <v>3.1881313131313128E-2</v>
      </c>
      <c r="T196" s="56">
        <f t="shared" si="897"/>
        <v>2.6383065753144492E-2</v>
      </c>
      <c r="U196" s="14">
        <f t="shared" si="897"/>
        <v>2.3400936037441498E-2</v>
      </c>
      <c r="V196" s="14">
        <f t="shared" si="897"/>
        <v>7.9326923076923073E-2</v>
      </c>
      <c r="W196" s="14">
        <f t="shared" si="897"/>
        <v>3.2334384858044164E-2</v>
      </c>
      <c r="X196" s="14">
        <f t="shared" si="897"/>
        <v>4.4534412955465584E-2</v>
      </c>
      <c r="Y196" s="56">
        <f t="shared" ref="Y196" si="898">Y195/Y202</f>
        <v>3.936858120958539E-2</v>
      </c>
      <c r="Z196" s="14">
        <f>Z195/Z202</f>
        <v>5.1978277734678044E-2</v>
      </c>
      <c r="AA196" s="14">
        <f t="shared" ref="AA196:AD196" si="899">AA195/AA202</f>
        <v>3.363587827015483E-2</v>
      </c>
      <c r="AB196" s="14">
        <f t="shared" si="899"/>
        <v>3.5040431266846361E-2</v>
      </c>
      <c r="AC196" s="14">
        <f t="shared" si="899"/>
        <v>3.0271934325295024E-2</v>
      </c>
      <c r="AD196" s="56">
        <f t="shared" si="899"/>
        <v>3.6390895461360227E-2</v>
      </c>
      <c r="AE196" s="14">
        <f t="shared" ref="AE196" si="900">AE195/AE202</f>
        <v>5.9116022099447517E-2</v>
      </c>
      <c r="AF196" s="14">
        <f>AF195/AF202</f>
        <v>4.7354948805460748E-2</v>
      </c>
      <c r="AG196" s="14">
        <f>AG195/AG202</f>
        <v>4.3269230769230768E-2</v>
      </c>
      <c r="AH196" s="14">
        <f>AH195/AH202</f>
        <v>5.0122850122850122E-2</v>
      </c>
      <c r="AI196" s="56">
        <f t="shared" ref="AI196" si="901">AI195/AI202</f>
        <v>4.9280368451352904E-2</v>
      </c>
      <c r="AJ196" s="14">
        <f>AJ195/AJ202</f>
        <v>3.8593063019052271E-2</v>
      </c>
      <c r="AK196" s="14">
        <f t="shared" ref="AK196:AN196" si="902">AK195/AK202</f>
        <v>3.7751333606893721E-2</v>
      </c>
      <c r="AL196" s="14">
        <f t="shared" si="902"/>
        <v>2.0347761746207917E-2</v>
      </c>
      <c r="AM196" s="14">
        <f t="shared" si="902"/>
        <v>3.663003663003663E-3</v>
      </c>
      <c r="AN196" s="56">
        <f t="shared" si="902"/>
        <v>2.4970654145768861E-2</v>
      </c>
      <c r="AO196" s="14">
        <f>AO195/AO202</f>
        <v>-9.1346153846153851E-3</v>
      </c>
      <c r="AP196" s="14">
        <f>AP195/AP202</f>
        <v>2.5499362515937103E-2</v>
      </c>
      <c r="AQ196" s="14">
        <f>AQ195/AQ202</f>
        <v>7.375776397515528E-3</v>
      </c>
      <c r="AR196" s="14">
        <f>AR195/AR202</f>
        <v>1.6176470588235296E-2</v>
      </c>
      <c r="AS196" s="56">
        <f t="shared" ref="AS196" si="903">AS195/AS202</f>
        <v>1.0277378715880208E-2</v>
      </c>
      <c r="AT196" s="14">
        <f>AT195/AT202</f>
        <v>3.1991174848317705E-2</v>
      </c>
      <c r="AU196" s="14">
        <f t="shared" ref="AU196:AW196" si="904">AU195/AU202</f>
        <v>2.6086956521739129E-2</v>
      </c>
      <c r="AV196" s="14">
        <f t="shared" si="904"/>
        <v>1.3720742534301856E-2</v>
      </c>
      <c r="AW196" s="14">
        <f t="shared" si="904"/>
        <v>3.7475345167652857E-2</v>
      </c>
      <c r="AX196" s="56">
        <f t="shared" ref="AX196:BL196" si="905">AX195/AX202</f>
        <v>2.6458137347130761E-2</v>
      </c>
      <c r="AY196" s="14">
        <f>AY195/AY202</f>
        <v>3.1019871978582872E-2</v>
      </c>
      <c r="AZ196" s="14">
        <f t="shared" ref="AZ196:BB196" si="906">AZ195/AZ202</f>
        <v>2.5631898058640887E-2</v>
      </c>
      <c r="BA196" s="14">
        <f t="shared" si="906"/>
        <v>1.3460938494985248E-2</v>
      </c>
      <c r="BB196" s="14">
        <f t="shared" si="906"/>
        <v>3.6547946372787021E-2</v>
      </c>
      <c r="BC196" s="56">
        <f t="shared" si="905"/>
        <v>2.5865494391552949E-2</v>
      </c>
      <c r="BD196" s="14">
        <f>BD195/BD202</f>
        <v>3.0411639194689085E-2</v>
      </c>
      <c r="BE196" s="14">
        <f t="shared" ref="BE196:BG196" si="907">BE195/BE202</f>
        <v>2.5129311822196951E-2</v>
      </c>
      <c r="BF196" s="14">
        <f t="shared" si="907"/>
        <v>1.3196998524495339E-2</v>
      </c>
      <c r="BG196" s="14">
        <f t="shared" si="907"/>
        <v>3.5831319973320605E-2</v>
      </c>
      <c r="BH196" s="56">
        <f t="shared" si="905"/>
        <v>2.535832783485583E-2</v>
      </c>
      <c r="BI196" s="56">
        <f t="shared" si="905"/>
        <v>2.4800064439554948E-2</v>
      </c>
      <c r="BJ196" s="56">
        <f t="shared" si="905"/>
        <v>2.4380401785863853E-2</v>
      </c>
      <c r="BK196" s="56">
        <f t="shared" si="905"/>
        <v>2.3902354692023377E-2</v>
      </c>
      <c r="BL196" s="56">
        <f t="shared" si="905"/>
        <v>2.343368107061115E-2</v>
      </c>
      <c r="BO196" s="139"/>
    </row>
    <row r="197" spans="2:67" s="38" customFormat="1" ht="12.75" customHeight="1">
      <c r="C197" s="99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14"/>
      <c r="V197" s="14"/>
      <c r="W197" s="14"/>
      <c r="X197" s="14"/>
      <c r="Y197" s="56"/>
      <c r="Z197" s="14"/>
      <c r="AA197" s="14"/>
      <c r="AB197" s="14"/>
      <c r="AC197" s="14"/>
      <c r="AD197" s="56"/>
      <c r="AE197" s="14"/>
      <c r="AF197" s="14"/>
      <c r="AG197" s="14"/>
      <c r="AH197" s="14"/>
      <c r="AI197" s="56"/>
      <c r="AJ197" s="14"/>
      <c r="AK197" s="14"/>
      <c r="AL197" s="14"/>
      <c r="AM197" s="14"/>
      <c r="AN197" s="56"/>
      <c r="AO197" s="14"/>
      <c r="AP197" s="14"/>
      <c r="AQ197" s="14"/>
      <c r="AR197" s="14"/>
      <c r="AS197" s="56"/>
      <c r="AT197" s="14"/>
      <c r="AU197" s="14"/>
      <c r="AV197" s="14"/>
      <c r="AW197" s="14"/>
      <c r="AX197" s="56"/>
      <c r="AY197" s="136"/>
      <c r="AZ197" s="136"/>
      <c r="BA197" s="136"/>
      <c r="BB197" s="136"/>
      <c r="BC197" s="56"/>
      <c r="BD197" s="136"/>
      <c r="BE197" s="136"/>
      <c r="BF197" s="136"/>
      <c r="BG197" s="136"/>
      <c r="BH197" s="56"/>
      <c r="BI197" s="56"/>
      <c r="BJ197" s="56"/>
      <c r="BK197" s="56"/>
      <c r="BL197" s="56"/>
      <c r="BO197" s="139"/>
    </row>
    <row r="198" spans="2:67" s="38" customFormat="1" ht="12.75" customHeight="1">
      <c r="C198" s="99" t="s">
        <v>281</v>
      </c>
      <c r="E198" s="48">
        <v>30</v>
      </c>
      <c r="F198" s="48">
        <v>30</v>
      </c>
      <c r="G198" s="48">
        <v>30</v>
      </c>
      <c r="H198" s="48">
        <v>30</v>
      </c>
      <c r="I198" s="48">
        <v>30</v>
      </c>
      <c r="J198" s="48">
        <v>30</v>
      </c>
      <c r="K198" s="48">
        <v>30</v>
      </c>
      <c r="L198" s="48">
        <v>30</v>
      </c>
      <c r="M198" s="48">
        <v>30</v>
      </c>
      <c r="N198" s="48">
        <v>30</v>
      </c>
      <c r="O198" s="48">
        <v>30</v>
      </c>
      <c r="P198" s="48">
        <v>30</v>
      </c>
      <c r="Q198" s="48">
        <v>30</v>
      </c>
      <c r="R198" s="48">
        <v>30</v>
      </c>
      <c r="S198" s="48">
        <v>43</v>
      </c>
      <c r="T198" s="48">
        <v>52</v>
      </c>
      <c r="U198" s="39">
        <v>11</v>
      </c>
      <c r="V198" s="39">
        <v>11</v>
      </c>
      <c r="W198" s="39">
        <v>12</v>
      </c>
      <c r="X198" s="39">
        <v>12</v>
      </c>
      <c r="Y198" s="50">
        <f>SUM(U198:X198)</f>
        <v>46</v>
      </c>
      <c r="Z198" s="39">
        <f>104-92</f>
        <v>12</v>
      </c>
      <c r="AA198" s="14"/>
      <c r="AB198" s="14"/>
      <c r="AC198" s="14"/>
      <c r="AD198" s="50">
        <f>SUM(Z198:AC198)</f>
        <v>12</v>
      </c>
      <c r="AE198" s="14"/>
      <c r="AF198" s="14"/>
      <c r="AG198" s="14"/>
      <c r="AH198" s="14"/>
      <c r="AI198" s="56"/>
      <c r="AJ198" s="14"/>
      <c r="AK198" s="14"/>
      <c r="AL198" s="14"/>
      <c r="AM198" s="14"/>
      <c r="AN198" s="56"/>
      <c r="AO198" s="14"/>
      <c r="AP198" s="14"/>
      <c r="AQ198" s="14"/>
      <c r="AR198" s="14"/>
      <c r="AS198" s="56"/>
      <c r="AT198" s="14"/>
      <c r="AU198" s="14"/>
      <c r="AV198" s="14"/>
      <c r="AW198" s="14"/>
      <c r="AX198" s="56"/>
      <c r="AY198" s="136"/>
      <c r="AZ198" s="136"/>
      <c r="BA198" s="136"/>
      <c r="BB198" s="136"/>
      <c r="BC198" s="56"/>
      <c r="BD198" s="136"/>
      <c r="BE198" s="136"/>
      <c r="BF198" s="136"/>
      <c r="BG198" s="136"/>
      <c r="BH198" s="56"/>
      <c r="BI198" s="56"/>
      <c r="BJ198" s="56"/>
      <c r="BK198" s="56"/>
      <c r="BL198" s="56"/>
      <c r="BO198" s="139"/>
    </row>
    <row r="199" spans="2:67" s="41" customFormat="1" ht="12.75" customHeight="1">
      <c r="C199" s="123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8"/>
      <c r="V199" s="58"/>
      <c r="W199" s="58"/>
      <c r="X199" s="58"/>
      <c r="Y199" s="57"/>
      <c r="Z199" s="58"/>
      <c r="AA199" s="58"/>
      <c r="AB199" s="58"/>
      <c r="AC199" s="58"/>
      <c r="AD199" s="57"/>
      <c r="AE199" s="58"/>
      <c r="AF199" s="58"/>
      <c r="AG199" s="58"/>
      <c r="AH199" s="58"/>
      <c r="AI199" s="57"/>
      <c r="AJ199" s="58"/>
      <c r="AK199" s="58"/>
      <c r="AL199" s="58"/>
      <c r="AM199" s="58"/>
      <c r="AN199" s="57"/>
      <c r="AO199" s="58"/>
      <c r="AP199" s="58"/>
      <c r="AQ199" s="58"/>
      <c r="AR199" s="58"/>
      <c r="AS199" s="57"/>
      <c r="AT199" s="58"/>
      <c r="AU199" s="58"/>
      <c r="AV199" s="58"/>
      <c r="AW199" s="58"/>
      <c r="AX199" s="57"/>
      <c r="AY199" s="58"/>
      <c r="AZ199" s="58"/>
      <c r="BA199" s="58"/>
      <c r="BB199" s="58"/>
      <c r="BC199" s="57"/>
      <c r="BD199" s="58"/>
      <c r="BE199" s="58"/>
      <c r="BF199" s="58"/>
      <c r="BG199" s="58"/>
      <c r="BH199" s="57"/>
      <c r="BI199" s="57"/>
      <c r="BJ199" s="57"/>
      <c r="BK199" s="57"/>
      <c r="BL199" s="57"/>
    </row>
    <row r="200" spans="2:67" s="41" customFormat="1" ht="12.75" customHeight="1">
      <c r="B200" s="203" t="s">
        <v>255</v>
      </c>
      <c r="C200" s="204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8"/>
      <c r="V200" s="58"/>
      <c r="W200" s="58"/>
      <c r="X200" s="58"/>
      <c r="Y200" s="57"/>
      <c r="Z200" s="58"/>
      <c r="AA200" s="58"/>
      <c r="AB200" s="58"/>
      <c r="AC200" s="58"/>
      <c r="AD200" s="57"/>
      <c r="AE200" s="58"/>
      <c r="AF200" s="58"/>
      <c r="AG200" s="58"/>
      <c r="AH200" s="58"/>
      <c r="AI200" s="57"/>
      <c r="AJ200" s="58"/>
      <c r="AK200" s="58"/>
      <c r="AL200" s="58"/>
      <c r="AM200" s="58"/>
      <c r="AN200" s="57"/>
      <c r="AO200" s="58"/>
      <c r="AP200" s="58"/>
      <c r="AQ200" s="58"/>
      <c r="AR200" s="58"/>
      <c r="AS200" s="57"/>
      <c r="AT200" s="58"/>
      <c r="AU200" s="58"/>
      <c r="AV200" s="58"/>
      <c r="AW200" s="58"/>
      <c r="AX200" s="57"/>
      <c r="AY200" s="58"/>
      <c r="AZ200" s="58"/>
      <c r="BA200" s="58"/>
      <c r="BB200" s="58"/>
      <c r="BC200" s="57"/>
      <c r="BD200" s="58"/>
      <c r="BE200" s="58"/>
      <c r="BF200" s="58"/>
      <c r="BG200" s="58"/>
      <c r="BH200" s="57"/>
      <c r="BI200" s="57"/>
      <c r="BJ200" s="57"/>
      <c r="BK200" s="57"/>
      <c r="BL200" s="57"/>
    </row>
    <row r="201" spans="2:67" s="41" customFormat="1" ht="12.75" customHeight="1">
      <c r="C201" s="123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8"/>
      <c r="V201" s="58"/>
      <c r="W201" s="58"/>
      <c r="X201" s="58"/>
      <c r="Y201" s="57"/>
      <c r="Z201" s="58"/>
      <c r="AA201" s="58"/>
      <c r="AB201" s="58"/>
      <c r="AC201" s="58"/>
      <c r="AD201" s="57"/>
      <c r="AE201" s="58"/>
      <c r="AF201" s="58"/>
      <c r="AG201" s="58"/>
      <c r="AH201" s="58"/>
      <c r="AI201" s="57"/>
      <c r="AJ201" s="58"/>
      <c r="AK201" s="58"/>
      <c r="AL201" s="58"/>
      <c r="AM201" s="58"/>
      <c r="AN201" s="57"/>
      <c r="AO201" s="58"/>
      <c r="AP201" s="58"/>
      <c r="AQ201" s="58"/>
      <c r="AR201" s="58"/>
      <c r="AS201" s="57"/>
      <c r="AT201" s="58"/>
      <c r="AU201" s="58"/>
      <c r="AV201" s="58"/>
      <c r="AW201" s="58"/>
      <c r="AX201" s="57"/>
      <c r="AY201" s="58"/>
      <c r="AZ201" s="58"/>
      <c r="BA201" s="58"/>
      <c r="BB201" s="58"/>
      <c r="BC201" s="57"/>
      <c r="BD201" s="58"/>
      <c r="BE201" s="58"/>
      <c r="BF201" s="58"/>
      <c r="BG201" s="58"/>
      <c r="BH201" s="57"/>
      <c r="BI201" s="57"/>
      <c r="BJ201" s="57"/>
      <c r="BK201" s="57"/>
      <c r="BL201" s="57"/>
    </row>
    <row r="202" spans="2:67" s="84" customFormat="1" ht="12.75" customHeight="1">
      <c r="C202" s="84" t="s">
        <v>50</v>
      </c>
      <c r="E202" s="83">
        <f t="shared" ref="E202:Q202" si="908">E79+E134+E190</f>
        <v>8803</v>
      </c>
      <c r="F202" s="83">
        <f t="shared" si="908"/>
        <v>8803</v>
      </c>
      <c r="G202" s="83">
        <f t="shared" si="908"/>
        <v>8803</v>
      </c>
      <c r="H202" s="83">
        <f t="shared" si="908"/>
        <v>8803</v>
      </c>
      <c r="I202" s="83">
        <f t="shared" si="908"/>
        <v>8803</v>
      </c>
      <c r="J202" s="83">
        <f t="shared" si="908"/>
        <v>8803</v>
      </c>
      <c r="K202" s="83">
        <f t="shared" si="908"/>
        <v>8803</v>
      </c>
      <c r="L202" s="83">
        <f t="shared" si="908"/>
        <v>8803</v>
      </c>
      <c r="M202" s="83">
        <f t="shared" si="908"/>
        <v>8803</v>
      </c>
      <c r="N202" s="83">
        <f t="shared" si="908"/>
        <v>8803</v>
      </c>
      <c r="O202" s="83">
        <f t="shared" si="908"/>
        <v>8803</v>
      </c>
      <c r="P202" s="83">
        <f t="shared" si="908"/>
        <v>8803</v>
      </c>
      <c r="Q202" s="83">
        <f t="shared" si="908"/>
        <v>8803</v>
      </c>
      <c r="R202" s="83">
        <f t="shared" ref="R202" si="909">R79+R134+R190</f>
        <v>8803</v>
      </c>
      <c r="S202" s="83">
        <f t="shared" ref="S202" si="910">S79+S134+S190</f>
        <v>9504</v>
      </c>
      <c r="T202" s="83">
        <f t="shared" ref="T202" si="911">T79+T134+T190</f>
        <v>9779</v>
      </c>
      <c r="U202" s="82">
        <f t="shared" ref="U202:Y202" si="912">U79+U134+U190</f>
        <v>1923</v>
      </c>
      <c r="V202" s="82">
        <f t="shared" si="912"/>
        <v>832</v>
      </c>
      <c r="W202" s="82">
        <f t="shared" si="912"/>
        <v>1268</v>
      </c>
      <c r="X202" s="82">
        <f t="shared" si="912"/>
        <v>1235</v>
      </c>
      <c r="Y202" s="50">
        <f t="shared" si="912"/>
        <v>5258</v>
      </c>
      <c r="Z202" s="82">
        <f>Z79+Z134+Z190</f>
        <v>1289</v>
      </c>
      <c r="AA202" s="82">
        <f t="shared" ref="AA202:AX202" si="913">AA79+AA134+AA190</f>
        <v>1873</v>
      </c>
      <c r="AB202" s="82">
        <f t="shared" si="913"/>
        <v>2226</v>
      </c>
      <c r="AC202" s="82">
        <f t="shared" si="913"/>
        <v>1949</v>
      </c>
      <c r="AD202" s="50">
        <f t="shared" si="913"/>
        <v>7337</v>
      </c>
      <c r="AE202" s="82">
        <f t="shared" si="913"/>
        <v>1810</v>
      </c>
      <c r="AF202" s="82">
        <f t="shared" si="913"/>
        <v>2344</v>
      </c>
      <c r="AG202" s="82">
        <f t="shared" si="913"/>
        <v>2496</v>
      </c>
      <c r="AH202" s="82">
        <f t="shared" si="913"/>
        <v>2035</v>
      </c>
      <c r="AI202" s="50">
        <f t="shared" si="913"/>
        <v>8685</v>
      </c>
      <c r="AJ202" s="82">
        <f t="shared" si="913"/>
        <v>2047</v>
      </c>
      <c r="AK202" s="82">
        <f t="shared" si="913"/>
        <v>2437</v>
      </c>
      <c r="AL202" s="82">
        <f t="shared" si="913"/>
        <v>2703</v>
      </c>
      <c r="AM202" s="82">
        <f t="shared" si="913"/>
        <v>2184</v>
      </c>
      <c r="AN202" s="50">
        <f t="shared" si="913"/>
        <v>9371</v>
      </c>
      <c r="AO202" s="82">
        <f t="shared" si="913"/>
        <v>2080</v>
      </c>
      <c r="AP202" s="82">
        <f t="shared" si="913"/>
        <v>2353</v>
      </c>
      <c r="AQ202" s="82">
        <f t="shared" si="913"/>
        <v>2576</v>
      </c>
      <c r="AR202" s="82">
        <f t="shared" si="913"/>
        <v>2040</v>
      </c>
      <c r="AS202" s="50">
        <f t="shared" si="913"/>
        <v>9049</v>
      </c>
      <c r="AT202" s="82">
        <f t="shared" si="913"/>
        <v>1813</v>
      </c>
      <c r="AU202" s="82">
        <f t="shared" si="913"/>
        <v>2185</v>
      </c>
      <c r="AV202" s="82">
        <f t="shared" si="913"/>
        <v>2478</v>
      </c>
      <c r="AW202" s="82">
        <f t="shared" si="913"/>
        <v>2028</v>
      </c>
      <c r="AX202" s="50">
        <f t="shared" si="913"/>
        <v>8504</v>
      </c>
      <c r="AY202" s="82">
        <f t="shared" ref="AY202:BH202" si="914">AY79+AY134+AY190</f>
        <v>1869.7691608800026</v>
      </c>
      <c r="AZ202" s="82">
        <f t="shared" si="914"/>
        <v>2223.791615806012</v>
      </c>
      <c r="BA202" s="82">
        <f t="shared" si="914"/>
        <v>2525.8268591500064</v>
      </c>
      <c r="BB202" s="82">
        <f t="shared" si="914"/>
        <v>2079.4602034490317</v>
      </c>
      <c r="BC202" s="50">
        <f t="shared" si="914"/>
        <v>8698.847839285052</v>
      </c>
      <c r="BD202" s="82">
        <f t="shared" si="914"/>
        <v>1907.1645440976029</v>
      </c>
      <c r="BE202" s="82">
        <f t="shared" si="914"/>
        <v>2268.267448122132</v>
      </c>
      <c r="BF202" s="82">
        <f t="shared" si="914"/>
        <v>2576.3433963330067</v>
      </c>
      <c r="BG202" s="82">
        <f t="shared" si="914"/>
        <v>2121.0494075180127</v>
      </c>
      <c r="BH202" s="50">
        <f t="shared" si="914"/>
        <v>8872.824796070754</v>
      </c>
      <c r="BI202" s="83">
        <f t="shared" ref="BI202:BL202" si="915">BI79+BI134+BI190</f>
        <v>9072.5570713088746</v>
      </c>
      <c r="BJ202" s="83">
        <f t="shared" si="915"/>
        <v>9228.7240372904198</v>
      </c>
      <c r="BK202" s="83">
        <f t="shared" si="915"/>
        <v>9413.2985180362302</v>
      </c>
      <c r="BL202" s="83">
        <f t="shared" si="915"/>
        <v>9601.5644883969562</v>
      </c>
    </row>
    <row r="203" spans="2:67" s="156" customFormat="1" ht="12.75" customHeight="1">
      <c r="C203" s="156" t="s">
        <v>12</v>
      </c>
      <c r="E203" s="206" t="e">
        <f t="shared" ref="E203:Q203" si="916">E202/D202-1</f>
        <v>#DIV/0!</v>
      </c>
      <c r="F203" s="206">
        <f t="shared" si="916"/>
        <v>0</v>
      </c>
      <c r="G203" s="206">
        <f t="shared" si="916"/>
        <v>0</v>
      </c>
      <c r="H203" s="206">
        <f t="shared" si="916"/>
        <v>0</v>
      </c>
      <c r="I203" s="206">
        <f t="shared" si="916"/>
        <v>0</v>
      </c>
      <c r="J203" s="206">
        <f t="shared" si="916"/>
        <v>0</v>
      </c>
      <c r="K203" s="206">
        <f t="shared" si="916"/>
        <v>0</v>
      </c>
      <c r="L203" s="206">
        <f t="shared" si="916"/>
        <v>0</v>
      </c>
      <c r="M203" s="206">
        <f t="shared" si="916"/>
        <v>0</v>
      </c>
      <c r="N203" s="206">
        <f t="shared" si="916"/>
        <v>0</v>
      </c>
      <c r="O203" s="206">
        <f t="shared" si="916"/>
        <v>0</v>
      </c>
      <c r="P203" s="206">
        <f t="shared" si="916"/>
        <v>0</v>
      </c>
      <c r="Q203" s="206">
        <f t="shared" si="916"/>
        <v>0</v>
      </c>
      <c r="R203" s="206">
        <f>R202/Q202-1</f>
        <v>0</v>
      </c>
      <c r="S203" s="206">
        <f>S202/R202-1</f>
        <v>7.9631943655571913E-2</v>
      </c>
      <c r="T203" s="206">
        <f>T202/S202-1</f>
        <v>2.8935185185185119E-2</v>
      </c>
      <c r="U203" s="119"/>
      <c r="V203" s="119"/>
      <c r="W203" s="119"/>
      <c r="X203" s="119"/>
      <c r="Y203" s="206">
        <f t="shared" ref="Y203" si="917">Y202/T202-1</f>
        <v>-0.46231721034870643</v>
      </c>
      <c r="Z203" s="119">
        <f>Z202/U202-1</f>
        <v>-0.32969318772750911</v>
      </c>
      <c r="AA203" s="119">
        <f t="shared" ref="AA203" si="918">AA202/V202-1</f>
        <v>1.2512019230769229</v>
      </c>
      <c r="AB203" s="119">
        <f t="shared" ref="AB203" si="919">AB202/W202-1</f>
        <v>0.75552050473186116</v>
      </c>
      <c r="AC203" s="119">
        <f t="shared" ref="AC203" si="920">AC202/X202-1</f>
        <v>0.57813765182186239</v>
      </c>
      <c r="AD203" s="206">
        <f t="shared" ref="AD203" si="921">AD202/Y202-1</f>
        <v>0.39539748953974896</v>
      </c>
      <c r="AE203" s="119">
        <f>AE202/Z202-1</f>
        <v>0.40418929402637693</v>
      </c>
      <c r="AF203" s="119">
        <f>AF202/AA202-1</f>
        <v>0.25146823278163377</v>
      </c>
      <c r="AG203" s="119">
        <f>AG202/AB202-1</f>
        <v>0.12129380053908356</v>
      </c>
      <c r="AH203" s="119">
        <f>AH202/AC202-1</f>
        <v>4.4125192406362146E-2</v>
      </c>
      <c r="AI203" s="206">
        <f t="shared" ref="AI203" si="922">AI202/AD202-1</f>
        <v>0.18372631865885247</v>
      </c>
      <c r="AJ203" s="119">
        <f>AJ202/AE202-1</f>
        <v>0.13093922651933698</v>
      </c>
      <c r="AK203" s="119">
        <f t="shared" ref="AK203" si="923">AK202/AF202-1</f>
        <v>3.96757679180888E-2</v>
      </c>
      <c r="AL203" s="119">
        <f t="shared" ref="AL203" si="924">AL202/AG202-1</f>
        <v>8.2932692307692291E-2</v>
      </c>
      <c r="AM203" s="119">
        <f t="shared" ref="AM203" si="925">AM202/AH202-1</f>
        <v>7.3218673218673258E-2</v>
      </c>
      <c r="AN203" s="206">
        <f t="shared" ref="AN203" si="926">AN202/AI202-1</f>
        <v>7.8986758779504784E-2</v>
      </c>
      <c r="AO203" s="119">
        <f>AO202/AJ202-1</f>
        <v>1.6121152906692693E-2</v>
      </c>
      <c r="AP203" s="119">
        <f>AP202/AK202-1</f>
        <v>-3.4468608945424695E-2</v>
      </c>
      <c r="AQ203" s="119">
        <f>AQ202/AL202-1</f>
        <v>-4.6984831668516414E-2</v>
      </c>
      <c r="AR203" s="119">
        <f>AR202/AM202-1</f>
        <v>-6.5934065934065922E-2</v>
      </c>
      <c r="AS203" s="206">
        <f t="shared" ref="AS203:AX203" si="927">AS202/AN202-1</f>
        <v>-3.4361327499733196E-2</v>
      </c>
      <c r="AT203" s="119">
        <f>AT202/AO202-1</f>
        <v>-0.1283653846153846</v>
      </c>
      <c r="AU203" s="119">
        <f t="shared" si="927"/>
        <v>-7.1398215044623847E-2</v>
      </c>
      <c r="AV203" s="119">
        <f t="shared" si="927"/>
        <v>-3.8043478260869512E-2</v>
      </c>
      <c r="AW203" s="119">
        <f t="shared" si="927"/>
        <v>-5.8823529411764497E-3</v>
      </c>
      <c r="AX203" s="206">
        <f t="shared" si="927"/>
        <v>-6.0227649464029143E-2</v>
      </c>
      <c r="AY203" s="119">
        <f>AY202/AT202-1</f>
        <v>3.1312278477662714E-2</v>
      </c>
      <c r="AZ203" s="119">
        <f t="shared" ref="AZ203" si="928">AZ202/AU202-1</f>
        <v>1.7753599911218387E-2</v>
      </c>
      <c r="BA203" s="119">
        <f t="shared" ref="BA203" si="929">BA202/AV202-1</f>
        <v>1.9300588841810518E-2</v>
      </c>
      <c r="BB203" s="119">
        <f t="shared" ref="BB203" si="930">BB202/AW202-1</f>
        <v>2.5374853771712003E-2</v>
      </c>
      <c r="BC203" s="206">
        <f t="shared" ref="BC203" si="931">BC202/AX202-1</f>
        <v>2.2912492860424738E-2</v>
      </c>
      <c r="BD203" s="119">
        <f>BD202/AY202-1</f>
        <v>2.0000000000000018E-2</v>
      </c>
      <c r="BE203" s="119">
        <f t="shared" ref="BE203" si="932">BE202/AZ202-1</f>
        <v>1.9999999999999796E-2</v>
      </c>
      <c r="BF203" s="119">
        <f t="shared" ref="BF203" si="933">BF202/BA202-1</f>
        <v>2.0000000000000018E-2</v>
      </c>
      <c r="BG203" s="119">
        <f t="shared" ref="BG203" si="934">BG202/BB202-1</f>
        <v>2.000000000000024E-2</v>
      </c>
      <c r="BH203" s="206">
        <f t="shared" ref="BH203" si="935">BH202/BC202-1</f>
        <v>2.0000000000000018E-2</v>
      </c>
      <c r="BI203" s="206">
        <f t="shared" ref="BI203" si="936">BI202/BD202-1</f>
        <v>3.7570919349288037</v>
      </c>
      <c r="BJ203" s="206">
        <f t="shared" ref="BJ203" si="937">BJ202/BE202-1</f>
        <v>3.0686225272644796</v>
      </c>
      <c r="BK203" s="206">
        <f t="shared" ref="BK203" si="938">BK202/BF202-1</f>
        <v>2.653743725092891</v>
      </c>
      <c r="BL203" s="206">
        <f t="shared" ref="BL203" si="939">BL202/BG202-1</f>
        <v>3.5267990714239961</v>
      </c>
    </row>
    <row r="204" spans="2:67" s="41" customFormat="1" ht="12.75" customHeight="1"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14"/>
      <c r="V204" s="14"/>
      <c r="W204" s="14"/>
      <c r="X204" s="14"/>
      <c r="Y204" s="56"/>
      <c r="Z204" s="14"/>
      <c r="AA204" s="14"/>
      <c r="AB204" s="14"/>
      <c r="AC204" s="14"/>
      <c r="AD204" s="56"/>
      <c r="AE204" s="14"/>
      <c r="AF204" s="14"/>
      <c r="AG204" s="14"/>
      <c r="AH204" s="14"/>
      <c r="AI204" s="56"/>
      <c r="AJ204" s="14"/>
      <c r="AK204" s="14"/>
      <c r="AL204" s="14"/>
      <c r="AM204" s="14"/>
      <c r="AN204" s="56"/>
      <c r="AO204" s="14"/>
      <c r="AP204" s="14"/>
      <c r="AQ204" s="14"/>
      <c r="AR204" s="14"/>
      <c r="AS204" s="56"/>
      <c r="AT204" s="14"/>
      <c r="AU204" s="14"/>
      <c r="AV204" s="14"/>
      <c r="AW204" s="14"/>
      <c r="AX204" s="56"/>
      <c r="AY204" s="14"/>
      <c r="AZ204" s="14"/>
      <c r="BA204" s="14"/>
      <c r="BB204" s="14"/>
      <c r="BC204" s="56"/>
      <c r="BD204" s="14"/>
      <c r="BE204" s="14"/>
      <c r="BF204" s="14"/>
      <c r="BG204" s="14"/>
      <c r="BH204" s="56"/>
      <c r="BI204" s="56"/>
      <c r="BJ204" s="56"/>
      <c r="BK204" s="56"/>
      <c r="BL204" s="56"/>
    </row>
    <row r="205" spans="2:67" s="41" customFormat="1" ht="12.75" customHeight="1">
      <c r="C205" s="84" t="s">
        <v>277</v>
      </c>
      <c r="E205" s="83">
        <f t="shared" ref="E205:Q205" si="940">E137+E82</f>
        <v>0</v>
      </c>
      <c r="F205" s="83">
        <f t="shared" si="940"/>
        <v>0</v>
      </c>
      <c r="G205" s="83">
        <f t="shared" si="940"/>
        <v>0</v>
      </c>
      <c r="H205" s="83">
        <f t="shared" si="940"/>
        <v>0</v>
      </c>
      <c r="I205" s="83">
        <f t="shared" si="940"/>
        <v>0</v>
      </c>
      <c r="J205" s="83">
        <f t="shared" si="940"/>
        <v>0</v>
      </c>
      <c r="K205" s="83">
        <f t="shared" si="940"/>
        <v>0</v>
      </c>
      <c r="L205" s="83">
        <f t="shared" si="940"/>
        <v>0</v>
      </c>
      <c r="M205" s="83">
        <f t="shared" si="940"/>
        <v>0</v>
      </c>
      <c r="N205" s="83">
        <f t="shared" si="940"/>
        <v>0</v>
      </c>
      <c r="O205" s="83">
        <f t="shared" si="940"/>
        <v>0</v>
      </c>
      <c r="P205" s="83">
        <f t="shared" si="940"/>
        <v>0</v>
      </c>
      <c r="Q205" s="83">
        <f t="shared" si="940"/>
        <v>0</v>
      </c>
      <c r="R205" s="83">
        <f t="shared" ref="R205:AX205" si="941">R137+R82</f>
        <v>0</v>
      </c>
      <c r="S205" s="83">
        <f t="shared" si="941"/>
        <v>0</v>
      </c>
      <c r="T205" s="83">
        <f t="shared" si="941"/>
        <v>0</v>
      </c>
      <c r="U205" s="82">
        <f t="shared" si="941"/>
        <v>0</v>
      </c>
      <c r="V205" s="82">
        <f t="shared" si="941"/>
        <v>0</v>
      </c>
      <c r="W205" s="82">
        <f t="shared" si="941"/>
        <v>0</v>
      </c>
      <c r="X205" s="82">
        <f t="shared" si="941"/>
        <v>0</v>
      </c>
      <c r="Y205" s="98">
        <f t="shared" si="941"/>
        <v>0</v>
      </c>
      <c r="Z205" s="82">
        <f t="shared" si="941"/>
        <v>0</v>
      </c>
      <c r="AA205" s="82">
        <f t="shared" si="941"/>
        <v>-1</v>
      </c>
      <c r="AB205" s="82">
        <f t="shared" si="941"/>
        <v>0</v>
      </c>
      <c r="AC205" s="82">
        <f t="shared" si="941"/>
        <v>0</v>
      </c>
      <c r="AD205" s="98">
        <f t="shared" si="941"/>
        <v>-1</v>
      </c>
      <c r="AE205" s="82">
        <f t="shared" si="941"/>
        <v>-17</v>
      </c>
      <c r="AF205" s="82">
        <f t="shared" si="941"/>
        <v>-12</v>
      </c>
      <c r="AG205" s="82">
        <f t="shared" si="941"/>
        <v>9</v>
      </c>
      <c r="AH205" s="82">
        <f t="shared" si="941"/>
        <v>13</v>
      </c>
      <c r="AI205" s="98">
        <f t="shared" si="941"/>
        <v>-7</v>
      </c>
      <c r="AJ205" s="82">
        <f t="shared" si="941"/>
        <v>-4</v>
      </c>
      <c r="AK205" s="82">
        <f t="shared" si="941"/>
        <v>-9</v>
      </c>
      <c r="AL205" s="82">
        <f t="shared" si="941"/>
        <v>-11</v>
      </c>
      <c r="AM205" s="82">
        <f t="shared" si="941"/>
        <v>0</v>
      </c>
      <c r="AN205" s="98">
        <f t="shared" si="941"/>
        <v>-24</v>
      </c>
      <c r="AO205" s="82">
        <f t="shared" si="941"/>
        <v>-18</v>
      </c>
      <c r="AP205" s="82">
        <f t="shared" si="941"/>
        <v>-18</v>
      </c>
      <c r="AQ205" s="82">
        <f t="shared" si="941"/>
        <v>-31</v>
      </c>
      <c r="AR205" s="82">
        <f t="shared" si="941"/>
        <v>-14</v>
      </c>
      <c r="AS205" s="98">
        <f t="shared" si="941"/>
        <v>-81</v>
      </c>
      <c r="AT205" s="82">
        <f t="shared" si="941"/>
        <v>-3</v>
      </c>
      <c r="AU205" s="82">
        <f t="shared" si="941"/>
        <v>-31</v>
      </c>
      <c r="AV205" s="82">
        <f t="shared" si="941"/>
        <v>-55</v>
      </c>
      <c r="AW205" s="82">
        <f t="shared" si="941"/>
        <v>-35</v>
      </c>
      <c r="AX205" s="98">
        <f t="shared" si="941"/>
        <v>-124</v>
      </c>
      <c r="AY205" s="82">
        <f t="shared" ref="AY205:BH205" si="942">AY137+AY82</f>
        <v>0</v>
      </c>
      <c r="AZ205" s="82">
        <f t="shared" si="942"/>
        <v>0</v>
      </c>
      <c r="BA205" s="82">
        <f t="shared" si="942"/>
        <v>0</v>
      </c>
      <c r="BB205" s="82">
        <f t="shared" si="942"/>
        <v>0</v>
      </c>
      <c r="BC205" s="98">
        <f t="shared" si="942"/>
        <v>0</v>
      </c>
      <c r="BD205" s="82">
        <f t="shared" si="942"/>
        <v>0</v>
      </c>
      <c r="BE205" s="82">
        <f t="shared" si="942"/>
        <v>0</v>
      </c>
      <c r="BF205" s="82">
        <f t="shared" si="942"/>
        <v>0</v>
      </c>
      <c r="BG205" s="82">
        <f t="shared" si="942"/>
        <v>0</v>
      </c>
      <c r="BH205" s="98">
        <f t="shared" si="942"/>
        <v>0</v>
      </c>
      <c r="BI205" s="98">
        <f t="shared" ref="BI205:BL205" si="943">BI137+BI82</f>
        <v>0</v>
      </c>
      <c r="BJ205" s="98">
        <f t="shared" si="943"/>
        <v>0</v>
      </c>
      <c r="BK205" s="98">
        <f t="shared" si="943"/>
        <v>0</v>
      </c>
      <c r="BL205" s="98">
        <f t="shared" si="943"/>
        <v>0</v>
      </c>
    </row>
    <row r="206" spans="2:67" s="41" customFormat="1" ht="12.75" customHeight="1">
      <c r="C206" s="84" t="s">
        <v>278</v>
      </c>
      <c r="E206" s="83">
        <f t="shared" ref="E206:Q206" si="944">E138+E83</f>
        <v>0</v>
      </c>
      <c r="F206" s="83">
        <f t="shared" si="944"/>
        <v>0</v>
      </c>
      <c r="G206" s="83">
        <f t="shared" si="944"/>
        <v>0</v>
      </c>
      <c r="H206" s="83">
        <f t="shared" si="944"/>
        <v>0</v>
      </c>
      <c r="I206" s="83">
        <f t="shared" si="944"/>
        <v>0</v>
      </c>
      <c r="J206" s="83">
        <f t="shared" si="944"/>
        <v>0</v>
      </c>
      <c r="K206" s="83">
        <f t="shared" si="944"/>
        <v>0</v>
      </c>
      <c r="L206" s="83">
        <f t="shared" si="944"/>
        <v>0</v>
      </c>
      <c r="M206" s="83">
        <f t="shared" si="944"/>
        <v>0</v>
      </c>
      <c r="N206" s="83">
        <f t="shared" si="944"/>
        <v>0</v>
      </c>
      <c r="O206" s="83">
        <f t="shared" si="944"/>
        <v>0</v>
      </c>
      <c r="P206" s="83">
        <f t="shared" si="944"/>
        <v>0</v>
      </c>
      <c r="Q206" s="83">
        <f t="shared" si="944"/>
        <v>0</v>
      </c>
      <c r="R206" s="83">
        <f t="shared" ref="R206:AX206" si="945">R138+R83</f>
        <v>0</v>
      </c>
      <c r="S206" s="83">
        <f t="shared" si="945"/>
        <v>0</v>
      </c>
      <c r="T206" s="83">
        <f t="shared" si="945"/>
        <v>0</v>
      </c>
      <c r="U206" s="82">
        <f t="shared" si="945"/>
        <v>0</v>
      </c>
      <c r="V206" s="82">
        <f t="shared" si="945"/>
        <v>0</v>
      </c>
      <c r="W206" s="82">
        <f t="shared" si="945"/>
        <v>0</v>
      </c>
      <c r="X206" s="82">
        <f t="shared" si="945"/>
        <v>0</v>
      </c>
      <c r="Y206" s="98">
        <f t="shared" si="945"/>
        <v>0</v>
      </c>
      <c r="Z206" s="82">
        <f t="shared" si="945"/>
        <v>0</v>
      </c>
      <c r="AA206" s="82">
        <f t="shared" si="945"/>
        <v>1</v>
      </c>
      <c r="AB206" s="82">
        <f t="shared" si="945"/>
        <v>0</v>
      </c>
      <c r="AC206" s="82">
        <f t="shared" si="945"/>
        <v>0</v>
      </c>
      <c r="AD206" s="98">
        <f t="shared" si="945"/>
        <v>1</v>
      </c>
      <c r="AE206" s="82">
        <f t="shared" si="945"/>
        <v>-2</v>
      </c>
      <c r="AF206" s="82">
        <f t="shared" si="945"/>
        <v>0</v>
      </c>
      <c r="AG206" s="82">
        <f t="shared" si="945"/>
        <v>3</v>
      </c>
      <c r="AH206" s="82">
        <f t="shared" si="945"/>
        <v>1</v>
      </c>
      <c r="AI206" s="98">
        <f t="shared" si="945"/>
        <v>2</v>
      </c>
      <c r="AJ206" s="82">
        <f t="shared" si="945"/>
        <v>0</v>
      </c>
      <c r="AK206" s="82">
        <f t="shared" si="945"/>
        <v>-1</v>
      </c>
      <c r="AL206" s="82">
        <f t="shared" si="945"/>
        <v>-2</v>
      </c>
      <c r="AM206" s="82">
        <f t="shared" si="945"/>
        <v>-1</v>
      </c>
      <c r="AN206" s="98">
        <f t="shared" si="945"/>
        <v>-4</v>
      </c>
      <c r="AO206" s="82">
        <f t="shared" si="945"/>
        <v>-4</v>
      </c>
      <c r="AP206" s="82">
        <f t="shared" si="945"/>
        <v>-5</v>
      </c>
      <c r="AQ206" s="82">
        <f t="shared" si="945"/>
        <v>-6</v>
      </c>
      <c r="AR206" s="82">
        <f t="shared" si="945"/>
        <v>-3</v>
      </c>
      <c r="AS206" s="98">
        <f t="shared" si="945"/>
        <v>-18</v>
      </c>
      <c r="AT206" s="82">
        <f t="shared" si="945"/>
        <v>0</v>
      </c>
      <c r="AU206" s="82">
        <f t="shared" si="945"/>
        <v>-7</v>
      </c>
      <c r="AV206" s="82">
        <f t="shared" si="945"/>
        <v>-10</v>
      </c>
      <c r="AW206" s="82">
        <f t="shared" si="945"/>
        <v>-8</v>
      </c>
      <c r="AX206" s="98">
        <f t="shared" si="945"/>
        <v>-25</v>
      </c>
      <c r="AY206" s="82">
        <f t="shared" ref="AY206:BH206" si="946">AY138+AY83</f>
        <v>0</v>
      </c>
      <c r="AZ206" s="82">
        <f t="shared" si="946"/>
        <v>0</v>
      </c>
      <c r="BA206" s="82">
        <f t="shared" si="946"/>
        <v>0</v>
      </c>
      <c r="BB206" s="82">
        <f t="shared" si="946"/>
        <v>0</v>
      </c>
      <c r="BC206" s="98">
        <f t="shared" si="946"/>
        <v>0</v>
      </c>
      <c r="BD206" s="82">
        <f t="shared" si="946"/>
        <v>0</v>
      </c>
      <c r="BE206" s="82">
        <f t="shared" si="946"/>
        <v>0</v>
      </c>
      <c r="BF206" s="82">
        <f t="shared" si="946"/>
        <v>0</v>
      </c>
      <c r="BG206" s="82">
        <f t="shared" si="946"/>
        <v>0</v>
      </c>
      <c r="BH206" s="98">
        <f t="shared" si="946"/>
        <v>0</v>
      </c>
      <c r="BI206" s="98">
        <f t="shared" ref="BI206:BL206" si="947">BI138+BI83</f>
        <v>0</v>
      </c>
      <c r="BJ206" s="98">
        <f t="shared" si="947"/>
        <v>0</v>
      </c>
      <c r="BK206" s="98">
        <f t="shared" si="947"/>
        <v>0</v>
      </c>
      <c r="BL206" s="98">
        <f t="shared" si="947"/>
        <v>0</v>
      </c>
    </row>
    <row r="207" spans="2:67" s="41" customFormat="1" ht="12.75" customHeight="1">
      <c r="C207" s="84" t="s">
        <v>275</v>
      </c>
      <c r="E207" s="83">
        <f t="shared" ref="E207:Q207" si="948">E139</f>
        <v>365</v>
      </c>
      <c r="F207" s="83">
        <f t="shared" si="948"/>
        <v>365</v>
      </c>
      <c r="G207" s="83">
        <f t="shared" si="948"/>
        <v>365</v>
      </c>
      <c r="H207" s="83">
        <f t="shared" si="948"/>
        <v>365</v>
      </c>
      <c r="I207" s="83">
        <f t="shared" si="948"/>
        <v>365</v>
      </c>
      <c r="J207" s="83">
        <f t="shared" si="948"/>
        <v>365</v>
      </c>
      <c r="K207" s="83">
        <f t="shared" si="948"/>
        <v>365</v>
      </c>
      <c r="L207" s="83">
        <f t="shared" si="948"/>
        <v>365</v>
      </c>
      <c r="M207" s="83">
        <f t="shared" si="948"/>
        <v>365</v>
      </c>
      <c r="N207" s="83">
        <f t="shared" si="948"/>
        <v>365</v>
      </c>
      <c r="O207" s="83">
        <f t="shared" si="948"/>
        <v>365</v>
      </c>
      <c r="P207" s="83">
        <f t="shared" si="948"/>
        <v>365</v>
      </c>
      <c r="Q207" s="83">
        <f t="shared" si="948"/>
        <v>365</v>
      </c>
      <c r="R207" s="83">
        <f t="shared" ref="R207:AX207" si="949">R139</f>
        <v>365</v>
      </c>
      <c r="S207" s="83">
        <f t="shared" si="949"/>
        <v>365</v>
      </c>
      <c r="T207" s="83">
        <f t="shared" si="949"/>
        <v>365</v>
      </c>
      <c r="U207" s="82">
        <f t="shared" si="949"/>
        <v>91</v>
      </c>
      <c r="V207" s="82">
        <f t="shared" si="949"/>
        <v>91</v>
      </c>
      <c r="W207" s="82">
        <f t="shared" si="949"/>
        <v>92</v>
      </c>
      <c r="X207" s="82">
        <f t="shared" si="949"/>
        <v>92</v>
      </c>
      <c r="Y207" s="98">
        <f t="shared" si="949"/>
        <v>366</v>
      </c>
      <c r="Z207" s="82">
        <f t="shared" si="949"/>
        <v>90</v>
      </c>
      <c r="AA207" s="82">
        <f t="shared" si="949"/>
        <v>91</v>
      </c>
      <c r="AB207" s="82">
        <f t="shared" si="949"/>
        <v>92</v>
      </c>
      <c r="AC207" s="82">
        <f t="shared" si="949"/>
        <v>92</v>
      </c>
      <c r="AD207" s="98">
        <f t="shared" si="949"/>
        <v>365</v>
      </c>
      <c r="AE207" s="82">
        <f t="shared" si="949"/>
        <v>90</v>
      </c>
      <c r="AF207" s="82">
        <f t="shared" si="949"/>
        <v>91</v>
      </c>
      <c r="AG207" s="82">
        <f t="shared" si="949"/>
        <v>92</v>
      </c>
      <c r="AH207" s="82">
        <f t="shared" si="949"/>
        <v>92</v>
      </c>
      <c r="AI207" s="98">
        <f t="shared" si="949"/>
        <v>365</v>
      </c>
      <c r="AJ207" s="82">
        <f t="shared" si="949"/>
        <v>90</v>
      </c>
      <c r="AK207" s="82">
        <f t="shared" si="949"/>
        <v>91</v>
      </c>
      <c r="AL207" s="82">
        <f t="shared" si="949"/>
        <v>92</v>
      </c>
      <c r="AM207" s="82">
        <f t="shared" si="949"/>
        <v>92</v>
      </c>
      <c r="AN207" s="98">
        <f t="shared" si="949"/>
        <v>365</v>
      </c>
      <c r="AO207" s="82">
        <f t="shared" si="949"/>
        <v>91</v>
      </c>
      <c r="AP207" s="82">
        <f t="shared" si="949"/>
        <v>91</v>
      </c>
      <c r="AQ207" s="82">
        <f t="shared" si="949"/>
        <v>92</v>
      </c>
      <c r="AR207" s="82">
        <f t="shared" si="949"/>
        <v>92</v>
      </c>
      <c r="AS207" s="98">
        <f t="shared" si="949"/>
        <v>366</v>
      </c>
      <c r="AT207" s="82">
        <f t="shared" si="949"/>
        <v>90</v>
      </c>
      <c r="AU207" s="82">
        <f t="shared" si="949"/>
        <v>91</v>
      </c>
      <c r="AV207" s="82">
        <f t="shared" si="949"/>
        <v>92</v>
      </c>
      <c r="AW207" s="82">
        <f t="shared" si="949"/>
        <v>92</v>
      </c>
      <c r="AX207" s="98">
        <f t="shared" si="949"/>
        <v>365</v>
      </c>
      <c r="AY207" s="82">
        <f t="shared" ref="AY207:BH207" si="950">AY139</f>
        <v>90</v>
      </c>
      <c r="AZ207" s="82">
        <f t="shared" si="950"/>
        <v>91</v>
      </c>
      <c r="BA207" s="82">
        <f t="shared" si="950"/>
        <v>92</v>
      </c>
      <c r="BB207" s="82">
        <f t="shared" si="950"/>
        <v>92</v>
      </c>
      <c r="BC207" s="98">
        <f t="shared" si="950"/>
        <v>365</v>
      </c>
      <c r="BD207" s="82">
        <f t="shared" si="950"/>
        <v>90</v>
      </c>
      <c r="BE207" s="82">
        <f t="shared" si="950"/>
        <v>91</v>
      </c>
      <c r="BF207" s="82">
        <f t="shared" si="950"/>
        <v>92</v>
      </c>
      <c r="BG207" s="82">
        <f t="shared" si="950"/>
        <v>92</v>
      </c>
      <c r="BH207" s="98">
        <f t="shared" si="950"/>
        <v>365</v>
      </c>
      <c r="BI207" s="98">
        <f t="shared" ref="BI207:BL207" si="951">BI139</f>
        <v>366</v>
      </c>
      <c r="BJ207" s="98">
        <f t="shared" si="951"/>
        <v>365</v>
      </c>
      <c r="BK207" s="98">
        <f t="shared" si="951"/>
        <v>365</v>
      </c>
      <c r="BL207" s="98">
        <f t="shared" si="951"/>
        <v>365</v>
      </c>
    </row>
    <row r="208" spans="2:67" s="41" customFormat="1" ht="12.75" customHeight="1">
      <c r="C208" s="84" t="s">
        <v>276</v>
      </c>
      <c r="E208" s="83">
        <f t="shared" ref="E208:Q208" si="952">E207*E211/1000</f>
        <v>241922</v>
      </c>
      <c r="F208" s="83">
        <f t="shared" si="952"/>
        <v>241922</v>
      </c>
      <c r="G208" s="83">
        <f t="shared" si="952"/>
        <v>241922</v>
      </c>
      <c r="H208" s="83">
        <f t="shared" si="952"/>
        <v>241922</v>
      </c>
      <c r="I208" s="83">
        <f t="shared" si="952"/>
        <v>241922</v>
      </c>
      <c r="J208" s="83">
        <f t="shared" si="952"/>
        <v>241922</v>
      </c>
      <c r="K208" s="83">
        <f t="shared" si="952"/>
        <v>241922</v>
      </c>
      <c r="L208" s="83">
        <f t="shared" si="952"/>
        <v>241922</v>
      </c>
      <c r="M208" s="83">
        <f t="shared" si="952"/>
        <v>241922</v>
      </c>
      <c r="N208" s="83">
        <f t="shared" si="952"/>
        <v>241922</v>
      </c>
      <c r="O208" s="83">
        <f t="shared" si="952"/>
        <v>241922</v>
      </c>
      <c r="P208" s="83">
        <f t="shared" si="952"/>
        <v>241922</v>
      </c>
      <c r="Q208" s="83">
        <f t="shared" si="952"/>
        <v>241922</v>
      </c>
      <c r="R208" s="83">
        <f t="shared" ref="R208" si="953">R207*R211/1000</f>
        <v>241922</v>
      </c>
      <c r="S208" s="83">
        <f t="shared" ref="S208" si="954">S207*S211/1000</f>
        <v>250864.5</v>
      </c>
      <c r="T208" s="83">
        <f t="shared" ref="T208" si="955">T207*T211/1000</f>
        <v>261194.73</v>
      </c>
      <c r="U208" s="82">
        <f t="shared" ref="U208" si="956">U207*U211/1000</f>
        <v>60657.597000000002</v>
      </c>
      <c r="V208" s="82">
        <f t="shared" ref="V208" si="957">V207*V211/1000</f>
        <v>57546.398000000001</v>
      </c>
      <c r="W208" s="82">
        <f t="shared" ref="W208" si="958">W207*W211/1000</f>
        <v>44204.896000000001</v>
      </c>
      <c r="X208" s="82">
        <f t="shared" ref="X208" si="959">X207*X211/1000</f>
        <v>35137.284</v>
      </c>
      <c r="Y208" s="98">
        <f t="shared" ref="Y208" si="960">Y207*Y211/1000</f>
        <v>197764.44</v>
      </c>
      <c r="Z208" s="82">
        <f t="shared" ref="Z208" si="961">Z207*Z211/1000</f>
        <v>32540.49</v>
      </c>
      <c r="AA208" s="82">
        <f t="shared" ref="AA208" si="962">AA207*AA211/1000</f>
        <v>37670.087</v>
      </c>
      <c r="AB208" s="82">
        <f t="shared" ref="AB208" si="963">AB207*AB211/1000</f>
        <v>42004.163999999997</v>
      </c>
      <c r="AC208" s="82">
        <f t="shared" ref="AC208" si="964">AC207*AC211/1000</f>
        <v>41767.908000000003</v>
      </c>
      <c r="AD208" s="98">
        <f t="shared" ref="AD208" si="965">AD207*AD211/1000</f>
        <v>153855.16500000001</v>
      </c>
      <c r="AE208" s="82">
        <f t="shared" ref="AE208" si="966">AE207*AE211/1000</f>
        <v>40996.53</v>
      </c>
      <c r="AF208" s="82">
        <f t="shared" ref="AF208" si="967">AF207*AF211/1000</f>
        <v>44611.476000000002</v>
      </c>
      <c r="AG208" s="82">
        <f t="shared" ref="AG208" si="968">AG207*AG211/1000</f>
        <v>46322.735999999997</v>
      </c>
      <c r="AH208" s="82">
        <f t="shared" ref="AH208" si="969">AH207*AH211/1000</f>
        <v>42866.847999999998</v>
      </c>
      <c r="AI208" s="98">
        <f t="shared" ref="AI208" si="970">AI207*AI211/1000</f>
        <v>174762.45624999999</v>
      </c>
      <c r="AJ208" s="82">
        <f t="shared" ref="AJ208" si="971">AJ207*AJ211/1000</f>
        <v>43495.92</v>
      </c>
      <c r="AK208" s="82">
        <f t="shared" ref="AK208" si="972">AK207*AK211/1000</f>
        <v>48576.983</v>
      </c>
      <c r="AL208" s="82">
        <f t="shared" ref="AL208" si="973">AL207*AL211/1000</f>
        <v>51728.563999999998</v>
      </c>
      <c r="AM208" s="82">
        <f t="shared" ref="AM208" si="974">AM207*AM211/1000</f>
        <v>48508.563999999998</v>
      </c>
      <c r="AN208" s="98">
        <f t="shared" ref="AN208" si="975">AN207*AN211/1000</f>
        <v>192230.44375000001</v>
      </c>
      <c r="AO208" s="82">
        <f t="shared" ref="AO208" si="976">AO207*AO211/1000</f>
        <v>48160.112000000001</v>
      </c>
      <c r="AP208" s="82">
        <f t="shared" ref="AP208" si="977">AP207*AP211/1000</f>
        <v>49703.017</v>
      </c>
      <c r="AQ208" s="82">
        <f t="shared" ref="AQ208" si="978">AQ207*AQ211/1000</f>
        <v>50606.807999999997</v>
      </c>
      <c r="AR208" s="82">
        <f t="shared" ref="AR208" si="979">AR207*AR211/1000</f>
        <v>45804.5</v>
      </c>
      <c r="AS208" s="98">
        <f t="shared" ref="AS208" si="980">AS207*AS211/1000</f>
        <v>194288.17199999999</v>
      </c>
      <c r="AT208" s="82">
        <f t="shared" ref="AT208" si="981">AT207*AT211/1000</f>
        <v>42954.57</v>
      </c>
      <c r="AU208" s="82">
        <f t="shared" ref="AU208" si="982">AU207*AU211/1000</f>
        <v>46669.714</v>
      </c>
      <c r="AV208" s="82">
        <f t="shared" ref="AV208" si="983">AV207*AV211/1000</f>
        <v>48575.264000000003</v>
      </c>
      <c r="AW208" s="82">
        <f t="shared" ref="AW208" si="984">AW207*AW211/1000</f>
        <v>45826.947999999997</v>
      </c>
      <c r="AX208" s="98">
        <f t="shared" ref="AX208" si="985">AX207*AX211/1000</f>
        <v>183981.7175</v>
      </c>
      <c r="AY208" s="82">
        <f t="shared" ref="AY208" si="986">AY207*AY211/1000</f>
        <v>43384.115699999995</v>
      </c>
      <c r="AZ208" s="82">
        <f t="shared" ref="AZ208" si="987">AZ207*AZ211/1000</f>
        <v>47136.411140000004</v>
      </c>
      <c r="BA208" s="82">
        <f t="shared" ref="BA208" si="988">BA207*BA211/1000</f>
        <v>49546.769279999993</v>
      </c>
      <c r="BB208" s="82">
        <f t="shared" ref="BB208" si="989">BB207*BB211/1000</f>
        <v>46743.486960000002</v>
      </c>
      <c r="BC208" s="98">
        <f t="shared" ref="BC208" si="990">BC207*BC211/1000</f>
        <v>186757.86096249998</v>
      </c>
      <c r="BD208" s="82">
        <f t="shared" ref="BD208" si="991">BD207*BD211/1000</f>
        <v>44251.798014</v>
      </c>
      <c r="BE208" s="82">
        <f t="shared" ref="BE208" si="992">BE207*BE211/1000</f>
        <v>48079.139362800001</v>
      </c>
      <c r="BF208" s="82">
        <f t="shared" ref="BF208" si="993">BF207*BF211/1000</f>
        <v>50537.704665599995</v>
      </c>
      <c r="BG208" s="82">
        <f t="shared" ref="BG208:BI208" si="994">BG207*BG211/1000</f>
        <v>47678.356699200005</v>
      </c>
      <c r="BH208" s="98">
        <f t="shared" ref="BH208" si="995">BH207*BH211/1000</f>
        <v>190493.01818175</v>
      </c>
      <c r="BI208" s="98">
        <f t="shared" si="994"/>
        <v>194835.21519893402</v>
      </c>
      <c r="BJ208" s="98">
        <f t="shared" ref="BJ208" si="996">BJ207*BJ211/1000</f>
        <v>198188.93611629275</v>
      </c>
      <c r="BK208" s="98">
        <f t="shared" ref="BK208" si="997">BK207*BK211/1000</f>
        <v>202152.71483861859</v>
      </c>
      <c r="BL208" s="98">
        <f t="shared" ref="BL208" si="998">BL207*BL211/1000</f>
        <v>206195.76913539093</v>
      </c>
    </row>
    <row r="209" spans="3:64" s="41" customFormat="1" ht="12.75" customHeight="1">
      <c r="C209" s="84" t="s">
        <v>268</v>
      </c>
      <c r="E209" s="83">
        <f t="shared" ref="E209:Q209" si="999">E141+E86</f>
        <v>190683</v>
      </c>
      <c r="F209" s="83">
        <f t="shared" si="999"/>
        <v>190683</v>
      </c>
      <c r="G209" s="83">
        <f t="shared" si="999"/>
        <v>190683</v>
      </c>
      <c r="H209" s="83">
        <f t="shared" si="999"/>
        <v>190683</v>
      </c>
      <c r="I209" s="83">
        <f t="shared" si="999"/>
        <v>190683</v>
      </c>
      <c r="J209" s="83">
        <f t="shared" si="999"/>
        <v>190683</v>
      </c>
      <c r="K209" s="83">
        <f t="shared" si="999"/>
        <v>190683</v>
      </c>
      <c r="L209" s="83">
        <f t="shared" si="999"/>
        <v>190683</v>
      </c>
      <c r="M209" s="83">
        <f t="shared" si="999"/>
        <v>190683</v>
      </c>
      <c r="N209" s="83">
        <f t="shared" si="999"/>
        <v>190683</v>
      </c>
      <c r="O209" s="83">
        <f t="shared" si="999"/>
        <v>190683</v>
      </c>
      <c r="P209" s="83">
        <f t="shared" si="999"/>
        <v>190683</v>
      </c>
      <c r="Q209" s="83">
        <f t="shared" si="999"/>
        <v>190683</v>
      </c>
      <c r="R209" s="83">
        <f t="shared" ref="R209:AX209" si="1000">R141+R86</f>
        <v>190683</v>
      </c>
      <c r="S209" s="83">
        <f t="shared" si="1000"/>
        <v>199880</v>
      </c>
      <c r="T209" s="83">
        <f t="shared" si="1000"/>
        <v>205998</v>
      </c>
      <c r="U209" s="82">
        <f t="shared" si="1000"/>
        <v>40427</v>
      </c>
      <c r="V209" s="82">
        <f t="shared" si="1000"/>
        <v>17220</v>
      </c>
      <c r="W209" s="82">
        <f t="shared" si="1000"/>
        <v>24165</v>
      </c>
      <c r="X209" s="82">
        <f t="shared" si="1000"/>
        <v>25486</v>
      </c>
      <c r="Y209" s="98">
        <f t="shared" si="1000"/>
        <v>107298</v>
      </c>
      <c r="Z209" s="82">
        <f t="shared" si="1000"/>
        <v>24648</v>
      </c>
      <c r="AA209" s="82">
        <f t="shared" si="1000"/>
        <v>29885</v>
      </c>
      <c r="AB209" s="82">
        <f t="shared" si="1000"/>
        <v>33489</v>
      </c>
      <c r="AC209" s="82">
        <f t="shared" si="1000"/>
        <v>32550</v>
      </c>
      <c r="AD209" s="98">
        <f t="shared" si="1000"/>
        <v>120572</v>
      </c>
      <c r="AE209" s="82">
        <f t="shared" si="1000"/>
        <v>30621</v>
      </c>
      <c r="AF209" s="82">
        <f t="shared" si="1000"/>
        <v>35444</v>
      </c>
      <c r="AG209" s="82">
        <f t="shared" si="1000"/>
        <v>37123</v>
      </c>
      <c r="AH209" s="82">
        <f t="shared" si="1000"/>
        <v>33672</v>
      </c>
      <c r="AI209" s="98">
        <f t="shared" si="1000"/>
        <v>136860</v>
      </c>
      <c r="AJ209" s="82">
        <f t="shared" si="1000"/>
        <v>33787</v>
      </c>
      <c r="AK209" s="82">
        <f t="shared" si="1000"/>
        <v>39706</v>
      </c>
      <c r="AL209" s="82">
        <f t="shared" si="1000"/>
        <v>43095</v>
      </c>
      <c r="AM209" s="82">
        <f t="shared" si="1000"/>
        <v>37602</v>
      </c>
      <c r="AN209" s="98">
        <f t="shared" si="1000"/>
        <v>154190</v>
      </c>
      <c r="AO209" s="82">
        <f t="shared" si="1000"/>
        <v>36854</v>
      </c>
      <c r="AP209" s="82">
        <f t="shared" si="1000"/>
        <v>39721</v>
      </c>
      <c r="AQ209" s="82">
        <f t="shared" si="1000"/>
        <v>41298</v>
      </c>
      <c r="AR209" s="82">
        <f t="shared" si="1000"/>
        <v>35998</v>
      </c>
      <c r="AS209" s="98">
        <f t="shared" si="1000"/>
        <v>153871</v>
      </c>
      <c r="AT209" s="82">
        <f t="shared" si="1000"/>
        <v>33902</v>
      </c>
      <c r="AU209" s="82">
        <f t="shared" si="1000"/>
        <v>38695</v>
      </c>
      <c r="AV209" s="82">
        <f t="shared" si="1000"/>
        <v>40884</v>
      </c>
      <c r="AW209" s="82">
        <f t="shared" si="1000"/>
        <v>35805</v>
      </c>
      <c r="AX209" s="98">
        <f t="shared" si="1000"/>
        <v>149286</v>
      </c>
      <c r="AY209" s="82">
        <f t="shared" ref="AY209:BH209" si="1001">AY141+AY86</f>
        <v>34674.861156999999</v>
      </c>
      <c r="AZ209" s="82">
        <f t="shared" si="1001"/>
        <v>39553.314111399995</v>
      </c>
      <c r="BA209" s="82">
        <f t="shared" si="1001"/>
        <v>42197.147692799997</v>
      </c>
      <c r="BB209" s="82">
        <f t="shared" si="1001"/>
        <v>36988.5348696</v>
      </c>
      <c r="BC209" s="98">
        <f t="shared" si="1001"/>
        <v>153413.8578308</v>
      </c>
      <c r="BD209" s="82">
        <f t="shared" si="1001"/>
        <v>35368.358380140002</v>
      </c>
      <c r="BE209" s="82">
        <f t="shared" si="1001"/>
        <v>40344.380393627995</v>
      </c>
      <c r="BF209" s="82">
        <f t="shared" si="1001"/>
        <v>43041.090646655997</v>
      </c>
      <c r="BG209" s="82">
        <f t="shared" si="1001"/>
        <v>37728.305566992007</v>
      </c>
      <c r="BH209" s="98">
        <f t="shared" si="1001"/>
        <v>156482.13498741601</v>
      </c>
      <c r="BI209" s="98">
        <f t="shared" ref="BI209:BL209" si="1002">BI141+BI86</f>
        <v>160004.22197523716</v>
      </c>
      <c r="BJ209" s="98">
        <f t="shared" si="1002"/>
        <v>162758.39300923716</v>
      </c>
      <c r="BK209" s="98">
        <f t="shared" si="1002"/>
        <v>166013.56086942193</v>
      </c>
      <c r="BL209" s="98">
        <f t="shared" si="1002"/>
        <v>169333.83208681038</v>
      </c>
    </row>
    <row r="210" spans="3:64" s="41" customFormat="1" ht="12.75" customHeight="1">
      <c r="C210" s="84" t="s">
        <v>269</v>
      </c>
      <c r="E210" s="83">
        <f t="shared" ref="E210:Q210" si="1003">E142+E87</f>
        <v>662800</v>
      </c>
      <c r="F210" s="83">
        <f t="shared" si="1003"/>
        <v>662800</v>
      </c>
      <c r="G210" s="83">
        <f t="shared" si="1003"/>
        <v>662800</v>
      </c>
      <c r="H210" s="83">
        <f t="shared" si="1003"/>
        <v>662800</v>
      </c>
      <c r="I210" s="83">
        <f t="shared" si="1003"/>
        <v>662800</v>
      </c>
      <c r="J210" s="83">
        <f t="shared" si="1003"/>
        <v>662800</v>
      </c>
      <c r="K210" s="83">
        <f t="shared" si="1003"/>
        <v>662800</v>
      </c>
      <c r="L210" s="83">
        <f t="shared" si="1003"/>
        <v>662800</v>
      </c>
      <c r="M210" s="83">
        <f t="shared" si="1003"/>
        <v>662800</v>
      </c>
      <c r="N210" s="83">
        <f t="shared" si="1003"/>
        <v>662800</v>
      </c>
      <c r="O210" s="83">
        <f t="shared" si="1003"/>
        <v>662800</v>
      </c>
      <c r="P210" s="83">
        <f t="shared" si="1003"/>
        <v>662800</v>
      </c>
      <c r="Q210" s="83">
        <f t="shared" si="1003"/>
        <v>662800</v>
      </c>
      <c r="R210" s="83">
        <f t="shared" ref="R210:AX210" si="1004">R142+R87</f>
        <v>662800</v>
      </c>
      <c r="S210" s="83">
        <f t="shared" si="1004"/>
        <v>687300</v>
      </c>
      <c r="T210" s="83">
        <f t="shared" si="1004"/>
        <v>715602</v>
      </c>
      <c r="U210" s="82">
        <f t="shared" si="1004"/>
        <v>666567</v>
      </c>
      <c r="V210" s="82">
        <f t="shared" si="1004"/>
        <v>632378</v>
      </c>
      <c r="W210" s="82">
        <f t="shared" si="1004"/>
        <v>480488</v>
      </c>
      <c r="X210" s="82">
        <f t="shared" si="1004"/>
        <v>381927</v>
      </c>
      <c r="Y210" s="98">
        <f t="shared" si="1004"/>
        <v>540340</v>
      </c>
      <c r="Z210" s="82">
        <f t="shared" si="1004"/>
        <v>367601</v>
      </c>
      <c r="AA210" s="82">
        <f t="shared" si="1004"/>
        <v>421166</v>
      </c>
      <c r="AB210" s="82">
        <f t="shared" si="1004"/>
        <v>473492</v>
      </c>
      <c r="AC210" s="82">
        <f t="shared" si="1004"/>
        <v>470900</v>
      </c>
      <c r="AD210" s="98">
        <f t="shared" si="1004"/>
        <v>433289.75</v>
      </c>
      <c r="AE210" s="82">
        <f t="shared" si="1004"/>
        <v>481211</v>
      </c>
      <c r="AF210" s="82">
        <f t="shared" si="1004"/>
        <v>513307</v>
      </c>
      <c r="AG210" s="82">
        <f t="shared" si="1004"/>
        <v>532740</v>
      </c>
      <c r="AH210" s="82">
        <f t="shared" si="1004"/>
        <v>496925</v>
      </c>
      <c r="AI210" s="98">
        <f t="shared" si="1004"/>
        <v>506045.75</v>
      </c>
      <c r="AJ210" s="82">
        <f t="shared" si="1004"/>
        <v>504528</v>
      </c>
      <c r="AK210" s="82">
        <f t="shared" si="1004"/>
        <v>561277</v>
      </c>
      <c r="AL210" s="82">
        <f t="shared" si="1004"/>
        <v>590488</v>
      </c>
      <c r="AM210" s="82">
        <f t="shared" si="1004"/>
        <v>553545</v>
      </c>
      <c r="AN210" s="98">
        <f t="shared" si="1004"/>
        <v>552459.5</v>
      </c>
      <c r="AO210" s="82">
        <f t="shared" si="1004"/>
        <v>547492</v>
      </c>
      <c r="AP210" s="82">
        <f t="shared" si="1004"/>
        <v>577224</v>
      </c>
      <c r="AQ210" s="82">
        <f t="shared" si="1004"/>
        <v>583516</v>
      </c>
      <c r="AR210" s="82">
        <f t="shared" si="1004"/>
        <v>532884</v>
      </c>
      <c r="AS210" s="98">
        <f t="shared" si="1004"/>
        <v>560279</v>
      </c>
      <c r="AT210" s="82">
        <f t="shared" si="1004"/>
        <v>504724</v>
      </c>
      <c r="AU210" s="82">
        <f t="shared" si="1004"/>
        <v>542532</v>
      </c>
      <c r="AV210" s="82">
        <f t="shared" si="1004"/>
        <v>545395</v>
      </c>
      <c r="AW210" s="82">
        <f t="shared" si="1004"/>
        <v>516867</v>
      </c>
      <c r="AX210" s="98">
        <f t="shared" si="1004"/>
        <v>527379.5</v>
      </c>
      <c r="AY210" s="82">
        <f t="shared" ref="AY210:BH210" si="1005">AY142+AY87</f>
        <v>509771.24</v>
      </c>
      <c r="AZ210" s="82">
        <f t="shared" si="1005"/>
        <v>547957.32000000007</v>
      </c>
      <c r="BA210" s="82">
        <f t="shared" si="1005"/>
        <v>556302.9</v>
      </c>
      <c r="BB210" s="82">
        <f t="shared" si="1005"/>
        <v>527204.34</v>
      </c>
      <c r="BC210" s="98">
        <f t="shared" si="1005"/>
        <v>535308.94999999995</v>
      </c>
      <c r="BD210" s="82">
        <f t="shared" si="1005"/>
        <v>519966.66480000003</v>
      </c>
      <c r="BE210" s="82">
        <f t="shared" si="1005"/>
        <v>558916.46640000003</v>
      </c>
      <c r="BF210" s="82">
        <f t="shared" si="1005"/>
        <v>567428.9580000001</v>
      </c>
      <c r="BG210" s="82">
        <f t="shared" si="1005"/>
        <v>537748.42680000002</v>
      </c>
      <c r="BH210" s="98">
        <f t="shared" si="1005"/>
        <v>546015.12899999996</v>
      </c>
      <c r="BI210" s="98">
        <f t="shared" ref="BI210:BL210" si="1006">BI142+BI87</f>
        <v>556935.43158000009</v>
      </c>
      <c r="BJ210" s="98">
        <f t="shared" si="1006"/>
        <v>568074.14021160011</v>
      </c>
      <c r="BK210" s="98">
        <f t="shared" si="1006"/>
        <v>579435.62301583204</v>
      </c>
      <c r="BL210" s="98">
        <f t="shared" si="1006"/>
        <v>591024.33547614864</v>
      </c>
    </row>
    <row r="211" spans="3:64" s="41" customFormat="1" ht="12.75" customHeight="1">
      <c r="C211" s="84" t="s">
        <v>270</v>
      </c>
      <c r="E211" s="83">
        <f t="shared" ref="E211:Q211" si="1007">E143+E88</f>
        <v>662800</v>
      </c>
      <c r="F211" s="83">
        <f t="shared" si="1007"/>
        <v>662800</v>
      </c>
      <c r="G211" s="83">
        <f t="shared" si="1007"/>
        <v>662800</v>
      </c>
      <c r="H211" s="83">
        <f t="shared" si="1007"/>
        <v>662800</v>
      </c>
      <c r="I211" s="83">
        <f t="shared" si="1007"/>
        <v>662800</v>
      </c>
      <c r="J211" s="83">
        <f t="shared" si="1007"/>
        <v>662800</v>
      </c>
      <c r="K211" s="83">
        <f t="shared" si="1007"/>
        <v>662800</v>
      </c>
      <c r="L211" s="83">
        <f t="shared" si="1007"/>
        <v>662800</v>
      </c>
      <c r="M211" s="83">
        <f t="shared" si="1007"/>
        <v>662800</v>
      </c>
      <c r="N211" s="83">
        <f t="shared" si="1007"/>
        <v>662800</v>
      </c>
      <c r="O211" s="83">
        <f t="shared" si="1007"/>
        <v>662800</v>
      </c>
      <c r="P211" s="83">
        <f t="shared" si="1007"/>
        <v>662800</v>
      </c>
      <c r="Q211" s="83">
        <f t="shared" si="1007"/>
        <v>662800</v>
      </c>
      <c r="R211" s="83">
        <f t="shared" ref="R211:AX211" si="1008">R143+R88</f>
        <v>662800</v>
      </c>
      <c r="S211" s="83">
        <f t="shared" si="1008"/>
        <v>687300</v>
      </c>
      <c r="T211" s="83">
        <f t="shared" si="1008"/>
        <v>715602</v>
      </c>
      <c r="U211" s="82">
        <f t="shared" si="1008"/>
        <v>666567</v>
      </c>
      <c r="V211" s="82">
        <f t="shared" si="1008"/>
        <v>632378</v>
      </c>
      <c r="W211" s="82">
        <f t="shared" si="1008"/>
        <v>480488</v>
      </c>
      <c r="X211" s="82">
        <f t="shared" si="1008"/>
        <v>381927</v>
      </c>
      <c r="Y211" s="98">
        <f t="shared" si="1008"/>
        <v>540340</v>
      </c>
      <c r="Z211" s="82">
        <f t="shared" si="1008"/>
        <v>361561</v>
      </c>
      <c r="AA211" s="82">
        <f t="shared" si="1008"/>
        <v>413957</v>
      </c>
      <c r="AB211" s="82">
        <f t="shared" si="1008"/>
        <v>456567</v>
      </c>
      <c r="AC211" s="82">
        <f t="shared" si="1008"/>
        <v>453999</v>
      </c>
      <c r="AD211" s="98">
        <f t="shared" si="1008"/>
        <v>421521</v>
      </c>
      <c r="AE211" s="82">
        <f t="shared" si="1008"/>
        <v>455517</v>
      </c>
      <c r="AF211" s="82">
        <f t="shared" si="1008"/>
        <v>490236</v>
      </c>
      <c r="AG211" s="82">
        <f t="shared" si="1008"/>
        <v>503508</v>
      </c>
      <c r="AH211" s="82">
        <f t="shared" si="1008"/>
        <v>465944</v>
      </c>
      <c r="AI211" s="98">
        <f t="shared" si="1008"/>
        <v>478801.25</v>
      </c>
      <c r="AJ211" s="82">
        <f t="shared" si="1008"/>
        <v>483288</v>
      </c>
      <c r="AK211" s="82">
        <f t="shared" si="1008"/>
        <v>533813</v>
      </c>
      <c r="AL211" s="82">
        <f t="shared" si="1008"/>
        <v>562267</v>
      </c>
      <c r="AM211" s="82">
        <f t="shared" si="1008"/>
        <v>527267</v>
      </c>
      <c r="AN211" s="98">
        <f t="shared" si="1008"/>
        <v>526658.75</v>
      </c>
      <c r="AO211" s="82">
        <f t="shared" si="1008"/>
        <v>529232</v>
      </c>
      <c r="AP211" s="82">
        <f t="shared" si="1008"/>
        <v>546187</v>
      </c>
      <c r="AQ211" s="82">
        <f t="shared" si="1008"/>
        <v>550074</v>
      </c>
      <c r="AR211" s="82">
        <f t="shared" si="1008"/>
        <v>497875</v>
      </c>
      <c r="AS211" s="98">
        <f t="shared" si="1008"/>
        <v>530842</v>
      </c>
      <c r="AT211" s="82">
        <f t="shared" si="1008"/>
        <v>477273</v>
      </c>
      <c r="AU211" s="82">
        <f t="shared" si="1008"/>
        <v>512854</v>
      </c>
      <c r="AV211" s="82">
        <f t="shared" si="1008"/>
        <v>527992</v>
      </c>
      <c r="AW211" s="82">
        <f t="shared" si="1008"/>
        <v>498119</v>
      </c>
      <c r="AX211" s="98">
        <f t="shared" si="1008"/>
        <v>504059.5</v>
      </c>
      <c r="AY211" s="82">
        <f t="shared" ref="AY211:BH211" si="1009">AY143+AY88</f>
        <v>482045.73</v>
      </c>
      <c r="AZ211" s="82">
        <f t="shared" si="1009"/>
        <v>517982.54</v>
      </c>
      <c r="BA211" s="82">
        <f t="shared" si="1009"/>
        <v>538551.84</v>
      </c>
      <c r="BB211" s="82">
        <f t="shared" si="1009"/>
        <v>508081.38</v>
      </c>
      <c r="BC211" s="98">
        <f t="shared" si="1009"/>
        <v>511665.37249999994</v>
      </c>
      <c r="BD211" s="82">
        <f t="shared" si="1009"/>
        <v>491686.6446</v>
      </c>
      <c r="BE211" s="82">
        <f t="shared" si="1009"/>
        <v>528342.19079999998</v>
      </c>
      <c r="BF211" s="82">
        <f t="shared" si="1009"/>
        <v>549322.87679999997</v>
      </c>
      <c r="BG211" s="82">
        <f t="shared" si="1009"/>
        <v>518243.00760000001</v>
      </c>
      <c r="BH211" s="98">
        <f t="shared" si="1009"/>
        <v>521898.67995000002</v>
      </c>
      <c r="BI211" s="98">
        <f t="shared" ref="BI211:BL211" si="1010">BI143+BI88</f>
        <v>532336.65354900004</v>
      </c>
      <c r="BJ211" s="98">
        <f t="shared" si="1010"/>
        <v>542983.3866199801</v>
      </c>
      <c r="BK211" s="98">
        <f t="shared" si="1010"/>
        <v>553843.05435237964</v>
      </c>
      <c r="BL211" s="98">
        <f t="shared" si="1010"/>
        <v>564919.91543942725</v>
      </c>
    </row>
    <row r="212" spans="3:64" s="41" customFormat="1" ht="12.75" customHeight="1">
      <c r="C212" s="84" t="s">
        <v>271</v>
      </c>
      <c r="E212" s="109">
        <f t="shared" ref="E212:Q212" si="1011">E209/E208</f>
        <v>0.78820032903167137</v>
      </c>
      <c r="F212" s="109">
        <f t="shared" si="1011"/>
        <v>0.78820032903167137</v>
      </c>
      <c r="G212" s="109">
        <f t="shared" si="1011"/>
        <v>0.78820032903167137</v>
      </c>
      <c r="H212" s="109">
        <f t="shared" si="1011"/>
        <v>0.78820032903167137</v>
      </c>
      <c r="I212" s="109">
        <f t="shared" si="1011"/>
        <v>0.78820032903167137</v>
      </c>
      <c r="J212" s="109">
        <f t="shared" si="1011"/>
        <v>0.78820032903167137</v>
      </c>
      <c r="K212" s="109">
        <f t="shared" si="1011"/>
        <v>0.78820032903167137</v>
      </c>
      <c r="L212" s="109">
        <f t="shared" si="1011"/>
        <v>0.78820032903167137</v>
      </c>
      <c r="M212" s="109">
        <f t="shared" si="1011"/>
        <v>0.78820032903167137</v>
      </c>
      <c r="N212" s="109">
        <f t="shared" si="1011"/>
        <v>0.78820032903167137</v>
      </c>
      <c r="O212" s="109">
        <f t="shared" si="1011"/>
        <v>0.78820032903167137</v>
      </c>
      <c r="P212" s="109">
        <f t="shared" si="1011"/>
        <v>0.78820032903167137</v>
      </c>
      <c r="Q212" s="109">
        <f t="shared" si="1011"/>
        <v>0.78820032903167137</v>
      </c>
      <c r="R212" s="109">
        <f t="shared" ref="R212:Y212" si="1012">R209/R208</f>
        <v>0.78820032903167137</v>
      </c>
      <c r="S212" s="109">
        <f t="shared" si="1012"/>
        <v>0.79676478736529077</v>
      </c>
      <c r="T212" s="109">
        <f t="shared" si="1012"/>
        <v>0.7886759430406578</v>
      </c>
      <c r="U212" s="110">
        <f t="shared" si="1012"/>
        <v>0.6664787594536592</v>
      </c>
      <c r="V212" s="110">
        <f t="shared" si="1012"/>
        <v>0.29923680019034377</v>
      </c>
      <c r="W212" s="110">
        <f t="shared" si="1012"/>
        <v>0.54665890402728246</v>
      </c>
      <c r="X212" s="110">
        <f t="shared" si="1012"/>
        <v>0.72532640826763961</v>
      </c>
      <c r="Y212" s="109">
        <f t="shared" si="1012"/>
        <v>0.54255456643267108</v>
      </c>
      <c r="Z212" s="110">
        <f>Z209/Z208</f>
        <v>0.75745632594960921</v>
      </c>
      <c r="AA212" s="110">
        <f t="shared" ref="AA212:AD212" si="1013">AA209/AA208</f>
        <v>0.79333504061193172</v>
      </c>
      <c r="AB212" s="110">
        <f t="shared" si="1013"/>
        <v>0.79727809842852726</v>
      </c>
      <c r="AC212" s="110">
        <f t="shared" si="1013"/>
        <v>0.77930644742848976</v>
      </c>
      <c r="AD212" s="109">
        <f t="shared" si="1013"/>
        <v>0.78367209836601837</v>
      </c>
      <c r="AE212" s="110">
        <f>AE209/AE208</f>
        <v>0.74691687320853739</v>
      </c>
      <c r="AF212" s="110">
        <f>AF209/AF208</f>
        <v>0.79450408679596252</v>
      </c>
      <c r="AG212" s="110">
        <f>AG209/AG208</f>
        <v>0.80139912288427873</v>
      </c>
      <c r="AH212" s="110">
        <f>AH209/AH208</f>
        <v>0.78550212042648904</v>
      </c>
      <c r="AI212" s="109">
        <f t="shared" ref="AI212" si="1014">AI209/AI208</f>
        <v>0.78312014454763657</v>
      </c>
      <c r="AJ212" s="110">
        <f>AJ209/AJ208</f>
        <v>0.77678550080099473</v>
      </c>
      <c r="AK212" s="110">
        <f t="shared" ref="AK212:AN212" si="1015">AK209/AK208</f>
        <v>0.81738299803427483</v>
      </c>
      <c r="AL212" s="110">
        <f t="shared" si="1015"/>
        <v>0.83309871118788459</v>
      </c>
      <c r="AM212" s="110">
        <f t="shared" si="1015"/>
        <v>0.77516209302753225</v>
      </c>
      <c r="AN212" s="109">
        <f t="shared" si="1015"/>
        <v>0.80211020165217717</v>
      </c>
      <c r="AO212" s="110">
        <f>AO209/AO208</f>
        <v>0.76523908416159825</v>
      </c>
      <c r="AP212" s="110">
        <f>AP209/AP208</f>
        <v>0.79916677895025967</v>
      </c>
      <c r="AQ212" s="110">
        <f>AQ209/AQ208</f>
        <v>0.81605621125126093</v>
      </c>
      <c r="AR212" s="110">
        <f>AR209/AR208</f>
        <v>0.78590531497996918</v>
      </c>
      <c r="AS212" s="109">
        <f t="shared" ref="AS212" si="1016">AS209/AS208</f>
        <v>0.79197306977596149</v>
      </c>
      <c r="AT212" s="110">
        <f>AT209/AT208</f>
        <v>0.78925245905150487</v>
      </c>
      <c r="AU212" s="110">
        <f t="shared" ref="AU212:AX212" si="1017">AU209/AU208</f>
        <v>0.82912442960331834</v>
      </c>
      <c r="AV212" s="110">
        <f t="shared" si="1017"/>
        <v>0.84166295009739933</v>
      </c>
      <c r="AW212" s="110">
        <f t="shared" si="1017"/>
        <v>0.78130884910773468</v>
      </c>
      <c r="AX212" s="109">
        <f t="shared" si="1017"/>
        <v>0.81141758011906806</v>
      </c>
      <c r="AY212" s="110">
        <f>AY209/AY208</f>
        <v>0.79925245905150499</v>
      </c>
      <c r="AZ212" s="110">
        <f t="shared" ref="AZ212:BC212" si="1018">AZ209/AZ208</f>
        <v>0.83912442960331812</v>
      </c>
      <c r="BA212" s="110">
        <f t="shared" si="1018"/>
        <v>0.85166295009739945</v>
      </c>
      <c r="BB212" s="110">
        <f t="shared" si="1018"/>
        <v>0.79130884910773458</v>
      </c>
      <c r="BC212" s="109">
        <f t="shared" si="1018"/>
        <v>0.82145863654759199</v>
      </c>
      <c r="BD212" s="110">
        <f>BD209/BD208</f>
        <v>0.79925245905150488</v>
      </c>
      <c r="BE212" s="110">
        <f t="shared" ref="BE212:BH212" si="1019">BE209/BE208</f>
        <v>0.83912442960331823</v>
      </c>
      <c r="BF212" s="110">
        <f t="shared" si="1019"/>
        <v>0.85166295009739945</v>
      </c>
      <c r="BG212" s="110">
        <f t="shared" si="1019"/>
        <v>0.79130884910773469</v>
      </c>
      <c r="BH212" s="109">
        <f t="shared" si="1019"/>
        <v>0.82145863654759199</v>
      </c>
      <c r="BI212" s="109">
        <f t="shared" ref="BI212:BL212" si="1020">BI209/BI208</f>
        <v>0.82122845098544883</v>
      </c>
      <c r="BJ212" s="109">
        <f t="shared" si="1020"/>
        <v>0.82122845098544872</v>
      </c>
      <c r="BK212" s="109">
        <f t="shared" si="1020"/>
        <v>0.82122845098544894</v>
      </c>
      <c r="BL212" s="109">
        <f t="shared" si="1020"/>
        <v>0.82122845098544917</v>
      </c>
    </row>
    <row r="213" spans="3:64" s="41" customFormat="1" ht="12.75" customHeight="1">
      <c r="C213" s="84" t="s">
        <v>272</v>
      </c>
      <c r="E213" s="209">
        <f t="shared" ref="E213:Q213" si="1021">(E202+E205-E190)/E209*1000</f>
        <v>42.809269835276353</v>
      </c>
      <c r="F213" s="209">
        <f t="shared" si="1021"/>
        <v>42.809269835276353</v>
      </c>
      <c r="G213" s="209">
        <f t="shared" si="1021"/>
        <v>42.809269835276353</v>
      </c>
      <c r="H213" s="209">
        <f t="shared" si="1021"/>
        <v>42.809269835276353</v>
      </c>
      <c r="I213" s="209">
        <f t="shared" si="1021"/>
        <v>42.809269835276353</v>
      </c>
      <c r="J213" s="209">
        <f t="shared" si="1021"/>
        <v>42.809269835276353</v>
      </c>
      <c r="K213" s="209">
        <f t="shared" si="1021"/>
        <v>42.809269835276353</v>
      </c>
      <c r="L213" s="209">
        <f t="shared" si="1021"/>
        <v>42.809269835276353</v>
      </c>
      <c r="M213" s="209">
        <f t="shared" si="1021"/>
        <v>42.809269835276353</v>
      </c>
      <c r="N213" s="209">
        <f t="shared" si="1021"/>
        <v>42.809269835276353</v>
      </c>
      <c r="O213" s="209">
        <f t="shared" si="1021"/>
        <v>42.809269835276353</v>
      </c>
      <c r="P213" s="209">
        <f t="shared" si="1021"/>
        <v>42.809269835276353</v>
      </c>
      <c r="Q213" s="209">
        <f t="shared" si="1021"/>
        <v>42.809269835276353</v>
      </c>
      <c r="R213" s="209">
        <f t="shared" ref="R213:AX213" si="1022">(R202+R205-R190)/R209*1000</f>
        <v>42.809269835276353</v>
      </c>
      <c r="S213" s="209">
        <f t="shared" si="1022"/>
        <v>43.806283770262155</v>
      </c>
      <c r="T213" s="209">
        <f t="shared" si="1022"/>
        <v>44.20916707929203</v>
      </c>
      <c r="U213" s="208">
        <f t="shared" si="1022"/>
        <v>43.263165706087513</v>
      </c>
      <c r="V213" s="208">
        <f t="shared" si="1022"/>
        <v>38.792102206736352</v>
      </c>
      <c r="W213" s="208">
        <f t="shared" si="1022"/>
        <v>46.306641837368097</v>
      </c>
      <c r="X213" s="208">
        <f t="shared" si="1022"/>
        <v>42.886290512438201</v>
      </c>
      <c r="Y213" s="209">
        <f t="shared" si="1022"/>
        <v>43.141531063020743</v>
      </c>
      <c r="Z213" s="208">
        <f t="shared" si="1022"/>
        <v>46.778643297630637</v>
      </c>
      <c r="AA213" s="208">
        <f t="shared" si="1022"/>
        <v>62.640120461770117</v>
      </c>
      <c r="AB213" s="208">
        <f t="shared" si="1022"/>
        <v>66.469587028576555</v>
      </c>
      <c r="AC213" s="208">
        <f t="shared" si="1022"/>
        <v>59.877112135176652</v>
      </c>
      <c r="AD213" s="209">
        <f t="shared" si="1022"/>
        <v>59.715356799256874</v>
      </c>
      <c r="AE213" s="208">
        <f t="shared" si="1022"/>
        <v>58.554586721530974</v>
      </c>
      <c r="AF213" s="208">
        <f t="shared" si="1022"/>
        <v>65.793928450513491</v>
      </c>
      <c r="AG213" s="208">
        <f t="shared" si="1022"/>
        <v>67.478382673814082</v>
      </c>
      <c r="AH213" s="208">
        <f t="shared" si="1022"/>
        <v>60.822047992397245</v>
      </c>
      <c r="AI213" s="209">
        <f t="shared" si="1022"/>
        <v>63.407862048809008</v>
      </c>
      <c r="AJ213" s="208">
        <f t="shared" si="1022"/>
        <v>60.467043537455233</v>
      </c>
      <c r="AK213" s="208">
        <f t="shared" si="1022"/>
        <v>61.149448446078679</v>
      </c>
      <c r="AL213" s="208">
        <f t="shared" si="1022"/>
        <v>62.466643462118576</v>
      </c>
      <c r="AM213" s="208">
        <f t="shared" si="1022"/>
        <v>58.08201691399394</v>
      </c>
      <c r="AN213" s="209">
        <f t="shared" si="1022"/>
        <v>60.620014268110772</v>
      </c>
      <c r="AO213" s="208">
        <f t="shared" si="1022"/>
        <v>55.950507407608399</v>
      </c>
      <c r="AP213" s="208">
        <f t="shared" si="1022"/>
        <v>58.785025553233801</v>
      </c>
      <c r="AQ213" s="208">
        <f t="shared" si="1022"/>
        <v>61.625260303162378</v>
      </c>
      <c r="AR213" s="208">
        <f t="shared" si="1022"/>
        <v>56.280904494694148</v>
      </c>
      <c r="AS213" s="209">
        <f t="shared" si="1022"/>
        <v>58.282587362141015</v>
      </c>
      <c r="AT213" s="208">
        <f t="shared" si="1022"/>
        <v>53.38918057931685</v>
      </c>
      <c r="AU213" s="208">
        <f t="shared" si="1022"/>
        <v>55.666106732135937</v>
      </c>
      <c r="AV213" s="208">
        <f t="shared" si="1022"/>
        <v>59.265238235006358</v>
      </c>
      <c r="AW213" s="208">
        <f t="shared" si="1022"/>
        <v>55.66261695293953</v>
      </c>
      <c r="AX213" s="209">
        <f t="shared" si="1022"/>
        <v>56.133863858633759</v>
      </c>
      <c r="AY213" s="208">
        <f t="shared" ref="AY213:BH213" si="1023">(AY202+AY205-AY190)/AY209*1000</f>
        <v>53.922902601227641</v>
      </c>
      <c r="AZ213" s="208">
        <f t="shared" si="1023"/>
        <v>56.222636857756356</v>
      </c>
      <c r="BA213" s="208">
        <f t="shared" si="1023"/>
        <v>59.857762840709313</v>
      </c>
      <c r="BB213" s="208">
        <f t="shared" si="1023"/>
        <v>56.219047625973708</v>
      </c>
      <c r="BC213" s="209">
        <f t="shared" si="1023"/>
        <v>56.701838818752627</v>
      </c>
      <c r="BD213" s="208">
        <f t="shared" si="1023"/>
        <v>53.922902601227648</v>
      </c>
      <c r="BE213" s="208">
        <f t="shared" si="1023"/>
        <v>56.222636857756349</v>
      </c>
      <c r="BF213" s="208">
        <f t="shared" si="1023"/>
        <v>59.857762840709313</v>
      </c>
      <c r="BG213" s="208">
        <f t="shared" si="1023"/>
        <v>56.219047625973708</v>
      </c>
      <c r="BH213" s="209">
        <f t="shared" si="1023"/>
        <v>56.701838818752634</v>
      </c>
      <c r="BI213" s="209">
        <f t="shared" ref="BI213:BL213" si="1024">(BI202+BI205-BI190)/BI209*1000</f>
        <v>56.70198548081423</v>
      </c>
      <c r="BJ213" s="209">
        <f t="shared" si="1024"/>
        <v>56.701985480814216</v>
      </c>
      <c r="BK213" s="209">
        <f t="shared" si="1024"/>
        <v>56.701985480814223</v>
      </c>
      <c r="BL213" s="209">
        <f t="shared" si="1024"/>
        <v>56.701985480814223</v>
      </c>
    </row>
    <row r="214" spans="3:64" s="41" customFormat="1" ht="12.75" customHeight="1">
      <c r="C214" s="84" t="s">
        <v>273</v>
      </c>
      <c r="E214" s="83">
        <f t="shared" ref="E214:Q214" si="1025">(E202+E205)/E211/12*1000000</f>
        <v>1106.7944075638704</v>
      </c>
      <c r="F214" s="83">
        <f t="shared" si="1025"/>
        <v>1106.7944075638704</v>
      </c>
      <c r="G214" s="83">
        <f t="shared" si="1025"/>
        <v>1106.7944075638704</v>
      </c>
      <c r="H214" s="83">
        <f t="shared" si="1025"/>
        <v>1106.7944075638704</v>
      </c>
      <c r="I214" s="83">
        <f t="shared" si="1025"/>
        <v>1106.7944075638704</v>
      </c>
      <c r="J214" s="83">
        <f t="shared" si="1025"/>
        <v>1106.7944075638704</v>
      </c>
      <c r="K214" s="83">
        <f t="shared" si="1025"/>
        <v>1106.7944075638704</v>
      </c>
      <c r="L214" s="83">
        <f t="shared" si="1025"/>
        <v>1106.7944075638704</v>
      </c>
      <c r="M214" s="83">
        <f t="shared" si="1025"/>
        <v>1106.7944075638704</v>
      </c>
      <c r="N214" s="83">
        <f t="shared" si="1025"/>
        <v>1106.7944075638704</v>
      </c>
      <c r="O214" s="83">
        <f t="shared" si="1025"/>
        <v>1106.7944075638704</v>
      </c>
      <c r="P214" s="83">
        <f t="shared" si="1025"/>
        <v>1106.7944075638704</v>
      </c>
      <c r="Q214" s="83">
        <f t="shared" si="1025"/>
        <v>1106.7944075638704</v>
      </c>
      <c r="R214" s="83">
        <f t="shared" ref="R214:T214" si="1026">(R202+R205)/R211/12*1000000</f>
        <v>1106.7944075638704</v>
      </c>
      <c r="S214" s="83">
        <f t="shared" si="1026"/>
        <v>1152.3352247926668</v>
      </c>
      <c r="T214" s="83">
        <f t="shared" si="1026"/>
        <v>1138.7847807393869</v>
      </c>
      <c r="U214" s="82">
        <f>(U202+U205)/U211/3*1000000</f>
        <v>961.64376574297853</v>
      </c>
      <c r="V214" s="82">
        <f>(V202+V205)/V211/3*1000000</f>
        <v>438.55626434400517</v>
      </c>
      <c r="W214" s="82">
        <f>(W202+W205)/W211/3*1000000</f>
        <v>879.66123330169899</v>
      </c>
      <c r="X214" s="82">
        <f>(X202+X205)/X211/3*1000000</f>
        <v>1077.8674109624787</v>
      </c>
      <c r="Y214" s="83">
        <f>(Y202+Y205)/Y211/12*1000000</f>
        <v>810.90918063935055</v>
      </c>
      <c r="Z214" s="82">
        <f>(Z202+Z205)/Z211/3*1000000</f>
        <v>1188.3656330928022</v>
      </c>
      <c r="AA214" s="82">
        <f t="shared" ref="AA214:AC214" si="1027">(AA202+AA205)/AA211/3*1000000</f>
        <v>1507.4029428177323</v>
      </c>
      <c r="AB214" s="82">
        <f t="shared" si="1027"/>
        <v>1625.1722091171723</v>
      </c>
      <c r="AC214" s="82">
        <f t="shared" si="1027"/>
        <v>1430.9869992371493</v>
      </c>
      <c r="AD214" s="83">
        <f>(AD202+AD205)/AD211/12*1000000</f>
        <v>1450.3033854382898</v>
      </c>
      <c r="AE214" s="82">
        <f>(AE202+AE205)/AE211/3*1000000</f>
        <v>1312.0622647819221</v>
      </c>
      <c r="AF214" s="82">
        <f>(AF202+AF205)/AF211/3*1000000</f>
        <v>1585.630866222255</v>
      </c>
      <c r="AG214" s="82">
        <f>(AG202+AG205)/AG211/3*1000000</f>
        <v>1658.3649117789589</v>
      </c>
      <c r="AH214" s="82">
        <f>(AH202+AH205)/AH211/3*1000000</f>
        <v>1465.1259951124312</v>
      </c>
      <c r="AI214" s="83">
        <f>(AI202+AI205)/AI211/12*1000000</f>
        <v>1510.3692119990635</v>
      </c>
      <c r="AJ214" s="82">
        <f>(AJ202+AJ205)/AJ211/3*1000000</f>
        <v>1409.0976808859314</v>
      </c>
      <c r="AK214" s="82">
        <f t="shared" ref="AK214:AM214" si="1028">(AK202+AK205)/AK211/3*1000000</f>
        <v>1516.1364248029431</v>
      </c>
      <c r="AL214" s="82">
        <f t="shared" si="1028"/>
        <v>1595.9203249227385</v>
      </c>
      <c r="AM214" s="82">
        <f t="shared" si="1028"/>
        <v>1380.7046524815703</v>
      </c>
      <c r="AN214" s="83">
        <f>(AN202+AN205)/AN211/12*1000000</f>
        <v>1478.9779276745458</v>
      </c>
      <c r="AO214" s="82">
        <f>(AO202+AO205)/AO211/3*1000000</f>
        <v>1298.7372897582409</v>
      </c>
      <c r="AP214" s="82">
        <f>(AP202+AP205)/AP211/3*1000000</f>
        <v>1425.0308654972259</v>
      </c>
      <c r="AQ214" s="82">
        <f>(AQ202+AQ205)/AQ211/3*1000000</f>
        <v>1542.2167441713902</v>
      </c>
      <c r="AR214" s="82">
        <f>(AR202+AR205)/AR211/3*1000000</f>
        <v>1356.4315005439787</v>
      </c>
      <c r="AS214" s="83">
        <f>(AS202+AS205)/AS211/12*1000000</f>
        <v>1407.8263086442546</v>
      </c>
      <c r="AT214" s="82">
        <f>(AT202+AT205)/AT211/3*1000000</f>
        <v>1264.1262617691202</v>
      </c>
      <c r="AU214" s="82">
        <f t="shared" ref="AU214:AW214" si="1029">(AU202+AU205)/AU211/3*1000000</f>
        <v>1400.0085794397628</v>
      </c>
      <c r="AV214" s="82">
        <f t="shared" si="1029"/>
        <v>1529.6948943670864</v>
      </c>
      <c r="AW214" s="82">
        <f t="shared" si="1029"/>
        <v>1333.6839858213268</v>
      </c>
      <c r="AX214" s="83">
        <f>(AX202+AX205)/AX211/12*1000000</f>
        <v>1385.4184542367188</v>
      </c>
      <c r="AY214" s="82">
        <f>(AY202+AY205)/AY211/3*1000000</f>
        <v>1292.9403750967797</v>
      </c>
      <c r="AZ214" s="82">
        <f t="shared" ref="AZ214:BB214" si="1030">(AZ202+AZ205)/AZ211/3*1000000</f>
        <v>1431.0595718831321</v>
      </c>
      <c r="BA214" s="82">
        <f t="shared" si="1030"/>
        <v>1563.3449258725689</v>
      </c>
      <c r="BB214" s="82">
        <f t="shared" si="1030"/>
        <v>1364.25664949516</v>
      </c>
      <c r="BC214" s="83">
        <f>(BC202+BC205)/BC211/12*1000000</f>
        <v>1416.7540458428966</v>
      </c>
      <c r="BD214" s="82">
        <f>(BD202+BD205)/BD211/3*1000000</f>
        <v>1292.9403750967797</v>
      </c>
      <c r="BE214" s="82">
        <f t="shared" ref="BE214:BG214" si="1031">(BE202+BE205)/BE211/3*1000000</f>
        <v>1431.0595718831319</v>
      </c>
      <c r="BF214" s="82">
        <f t="shared" si="1031"/>
        <v>1563.3449258725689</v>
      </c>
      <c r="BG214" s="82">
        <f t="shared" si="1031"/>
        <v>1364.2566494951602</v>
      </c>
      <c r="BH214" s="83">
        <f>(BH202+BH205)/BH211/12*1000000</f>
        <v>1416.7540458428964</v>
      </c>
      <c r="BI214" s="83">
        <f>(BI202+BI205)/BI211/12*1000000</f>
        <v>1420.2411529783585</v>
      </c>
      <c r="BJ214" s="83">
        <f t="shared" ref="BJ214:BL214" si="1032">(BJ202+BJ205)/BJ211/12*1000000</f>
        <v>1416.3607126696743</v>
      </c>
      <c r="BK214" s="83">
        <f t="shared" si="1032"/>
        <v>1416.360712669675</v>
      </c>
      <c r="BL214" s="83">
        <f t="shared" si="1032"/>
        <v>1416.360712669675</v>
      </c>
    </row>
    <row r="215" spans="3:64" s="41" customFormat="1" ht="12.75" customHeight="1">
      <c r="C215" s="84" t="s">
        <v>274</v>
      </c>
      <c r="E215" s="83">
        <f t="shared" ref="E215:Q215" si="1033">(E237+E206)/E210*1000000/12</f>
        <v>321.61536914101788</v>
      </c>
      <c r="F215" s="83">
        <f t="shared" si="1033"/>
        <v>321.61536914101788</v>
      </c>
      <c r="G215" s="83">
        <f t="shared" si="1033"/>
        <v>321.61536914101788</v>
      </c>
      <c r="H215" s="83">
        <f t="shared" si="1033"/>
        <v>321.61536914101788</v>
      </c>
      <c r="I215" s="83">
        <f t="shared" si="1033"/>
        <v>321.61536914101788</v>
      </c>
      <c r="J215" s="83">
        <f t="shared" si="1033"/>
        <v>321.61536914101788</v>
      </c>
      <c r="K215" s="83">
        <f t="shared" si="1033"/>
        <v>321.61536914101788</v>
      </c>
      <c r="L215" s="83">
        <f t="shared" si="1033"/>
        <v>321.61536914101788</v>
      </c>
      <c r="M215" s="83">
        <f t="shared" si="1033"/>
        <v>321.61536914101788</v>
      </c>
      <c r="N215" s="83">
        <f t="shared" si="1033"/>
        <v>321.61536914101788</v>
      </c>
      <c r="O215" s="83">
        <f t="shared" si="1033"/>
        <v>321.61536914101788</v>
      </c>
      <c r="P215" s="83">
        <f t="shared" si="1033"/>
        <v>321.61536914101788</v>
      </c>
      <c r="Q215" s="83">
        <f t="shared" si="1033"/>
        <v>321.61536914101788</v>
      </c>
      <c r="R215" s="83">
        <f t="shared" ref="R215:T215" si="1034">(R237+R206)/R210*1000000/12</f>
        <v>321.61536914101788</v>
      </c>
      <c r="S215" s="83">
        <f t="shared" si="1034"/>
        <v>299.72355594354718</v>
      </c>
      <c r="T215" s="83">
        <f t="shared" si="1034"/>
        <v>275.05978649211903</v>
      </c>
      <c r="U215" s="82">
        <f>(U237+U206)/U210*1000000/3</f>
        <v>312.0466509743207</v>
      </c>
      <c r="V215" s="82">
        <f>(V237+V206)/V210*1000000/3</f>
        <v>291.49232473826311</v>
      </c>
      <c r="W215" s="82">
        <f>(W237+W206)/W210*1000000/3</f>
        <v>200.49061232191718</v>
      </c>
      <c r="X215" s="82">
        <f>(X237+X206)/X210*1000000/3</f>
        <v>297.61359282445773</v>
      </c>
      <c r="Y215" s="83">
        <f>(Y237+Y206)/Y210*1000000/12</f>
        <v>278.68255789564597</v>
      </c>
      <c r="Z215" s="82">
        <f>(Z237+Z206)/Z210*1000000/3</f>
        <v>220.34760514797293</v>
      </c>
      <c r="AA215" s="82">
        <f t="shared" ref="AA215:AC215" si="1035">(AA237+AA206)/AA210*1000000/3</f>
        <v>92.600067431843968</v>
      </c>
      <c r="AB215" s="82">
        <f t="shared" si="1035"/>
        <v>42.943351383620694</v>
      </c>
      <c r="AC215" s="82">
        <f t="shared" si="1035"/>
        <v>55.213421108515611</v>
      </c>
      <c r="AD215" s="83">
        <f>(AD237+AD206)/AD210*1000000/12</f>
        <v>95.97119094862812</v>
      </c>
      <c r="AE215" s="82">
        <f>(AE237+AE206)/AE210*1000000/3</f>
        <v>-42.254506512389227</v>
      </c>
      <c r="AF215" s="82">
        <f>(AF237+AF206)/AF210*1000000/3</f>
        <v>68.834699961881157</v>
      </c>
      <c r="AG215" s="82">
        <f>(AG237+AG206)/AG210*1000000/3</f>
        <v>185.83173780831177</v>
      </c>
      <c r="AH215" s="82">
        <f>(AH237+AH206)/AH210*1000000/3</f>
        <v>242.15592560916301</v>
      </c>
      <c r="AI215" s="83">
        <f>(AI237+AI206)/AI210*1000000/12</f>
        <v>115.76687153944744</v>
      </c>
      <c r="AJ215" s="82">
        <f>(AJ237+AJ206)/AJ210*1000000/3</f>
        <v>251.72041987758857</v>
      </c>
      <c r="AK215" s="82">
        <f t="shared" ref="AK215:AM215" si="1036">(AK237+AK206)/AK210*1000000/3</f>
        <v>194.79389558690866</v>
      </c>
      <c r="AL215" s="82">
        <f t="shared" si="1036"/>
        <v>281.68791462880421</v>
      </c>
      <c r="AM215" s="82">
        <f t="shared" si="1036"/>
        <v>498.00227021591144</v>
      </c>
      <c r="AN215" s="83">
        <f>(AN237+AN206)/AN210*1000000/12</f>
        <v>306.9606610680662</v>
      </c>
      <c r="AO215" s="82">
        <f>(AO237+AO206)/AO210*1000000/3</f>
        <v>587.52761075352089</v>
      </c>
      <c r="AP215" s="82">
        <f>(AP237+AP206)/AP210*1000000/3</f>
        <v>594.80086298098024</v>
      </c>
      <c r="AQ215" s="82">
        <f>(AQ237+AQ206)/AQ210*1000000/3</f>
        <v>531.83346015076415</v>
      </c>
      <c r="AR215" s="82">
        <f>(AR237+AR206)/AR210*1000000/3</f>
        <v>417.22651333748678</v>
      </c>
      <c r="AS215" s="83">
        <f>(AS237+AS206)/AS210*1000000/12</f>
        <v>534.40637015962886</v>
      </c>
      <c r="AT215" s="82">
        <f>(AT237+AT206)/AT210*1000000/3</f>
        <v>353.32841975680435</v>
      </c>
      <c r="AU215" s="82">
        <f t="shared" ref="AU215:AW215" si="1037">(AU237+AU206)/AU210*1000000/3</f>
        <v>250.67645779419459</v>
      </c>
      <c r="AV215" s="82">
        <f t="shared" si="1037"/>
        <v>273.19649061689233</v>
      </c>
      <c r="AW215" s="82">
        <f t="shared" si="1037"/>
        <v>330.19455037111413</v>
      </c>
      <c r="AX215" s="83">
        <f>(AX237+AX206)/AX210*1000000/12</f>
        <v>300.5425884017107</v>
      </c>
      <c r="AY215" s="82">
        <f>(AY237+AY206)/AY210*1000000/3</f>
        <v>292.30496931656381</v>
      </c>
      <c r="AZ215" s="82">
        <f t="shared" ref="AZ215:BB215" si="1038">(AZ237+AZ206)/AZ210*1000000/3</f>
        <v>250.67645779419459</v>
      </c>
      <c r="BA215" s="82">
        <f t="shared" si="1038"/>
        <v>273.19649061689228</v>
      </c>
      <c r="BB215" s="82">
        <f t="shared" si="1038"/>
        <v>288.40430258977</v>
      </c>
      <c r="BC215" s="83">
        <f>(BC237+BC206)/BC210*1000000/12</f>
        <v>275.7270668959797</v>
      </c>
      <c r="BD215" s="82">
        <f>(BD237+BD206)/BD210*1000000/3</f>
        <v>292.3049693165637</v>
      </c>
      <c r="BE215" s="82">
        <f t="shared" ref="BE215:BG215" si="1039">(BE237+BE206)/BE210*1000000/3</f>
        <v>250.67645779419465</v>
      </c>
      <c r="BF215" s="82">
        <f t="shared" si="1039"/>
        <v>273.19649061689228</v>
      </c>
      <c r="BG215" s="82">
        <f t="shared" si="1039"/>
        <v>288.40430258977</v>
      </c>
      <c r="BH215" s="83">
        <f>(BH237+BH206)/BH210*1000000/12</f>
        <v>275.7270668959797</v>
      </c>
      <c r="BI215" s="83">
        <f>(BI237+BI206)/BI210*1000000/12</f>
        <v>275.7270668959797</v>
      </c>
      <c r="BJ215" s="83">
        <f t="shared" ref="BJ215:BL215" si="1040">(BJ237+BJ206)/BJ210*1000000/12</f>
        <v>275.7270668959797</v>
      </c>
      <c r="BK215" s="83">
        <f t="shared" si="1040"/>
        <v>275.7270668959797</v>
      </c>
      <c r="BL215" s="83">
        <f t="shared" si="1040"/>
        <v>275.7270668959797</v>
      </c>
    </row>
    <row r="216" spans="3:64" s="41" customFormat="1" ht="12.75" customHeight="1">
      <c r="C216" s="84" t="s">
        <v>267</v>
      </c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07"/>
      <c r="V216" s="207"/>
      <c r="W216" s="207"/>
      <c r="X216" s="207"/>
      <c r="Y216" s="56"/>
      <c r="Z216" s="207"/>
      <c r="AA216" s="207"/>
      <c r="AB216" s="207"/>
      <c r="AC216" s="207"/>
      <c r="AD216" s="56"/>
      <c r="AE216" s="207"/>
      <c r="AF216" s="207"/>
      <c r="AG216" s="207"/>
      <c r="AH216" s="207"/>
      <c r="AI216" s="56"/>
      <c r="AJ216" s="207"/>
      <c r="AK216" s="207"/>
      <c r="AL216" s="207"/>
      <c r="AM216" s="207"/>
      <c r="AN216" s="56"/>
      <c r="AO216" s="207"/>
      <c r="AP216" s="207"/>
      <c r="AQ216" s="207"/>
      <c r="AR216" s="207"/>
      <c r="AS216" s="56"/>
      <c r="AT216" s="207"/>
      <c r="AU216" s="207"/>
      <c r="AV216" s="207"/>
      <c r="AW216" s="207"/>
      <c r="AX216" s="56"/>
      <c r="AY216" s="207"/>
      <c r="AZ216" s="207"/>
      <c r="BA216" s="207"/>
      <c r="BB216" s="207"/>
      <c r="BC216" s="56"/>
      <c r="BD216" s="207"/>
      <c r="BE216" s="207"/>
      <c r="BF216" s="207"/>
      <c r="BG216" s="207"/>
      <c r="BH216" s="56"/>
      <c r="BI216" s="56"/>
      <c r="BJ216" s="56"/>
      <c r="BK216" s="56"/>
      <c r="BL216" s="56"/>
    </row>
    <row r="217" spans="3:64" s="41" customFormat="1" ht="12.75" customHeight="1">
      <c r="C217" s="84" t="s">
        <v>284</v>
      </c>
      <c r="E217" s="83">
        <f t="shared" ref="E217:Q217" si="1041">E237/E211/E207*1000000</f>
        <v>10.573655971759493</v>
      </c>
      <c r="F217" s="83">
        <f t="shared" si="1041"/>
        <v>10.573655971759493</v>
      </c>
      <c r="G217" s="83">
        <f t="shared" si="1041"/>
        <v>10.573655971759493</v>
      </c>
      <c r="H217" s="83">
        <f t="shared" si="1041"/>
        <v>10.573655971759493</v>
      </c>
      <c r="I217" s="83">
        <f t="shared" si="1041"/>
        <v>10.573655971759493</v>
      </c>
      <c r="J217" s="83">
        <f t="shared" si="1041"/>
        <v>10.573655971759493</v>
      </c>
      <c r="K217" s="83">
        <f t="shared" si="1041"/>
        <v>10.573655971759493</v>
      </c>
      <c r="L217" s="83">
        <f t="shared" si="1041"/>
        <v>10.573655971759493</v>
      </c>
      <c r="M217" s="83">
        <f t="shared" si="1041"/>
        <v>10.573655971759493</v>
      </c>
      <c r="N217" s="83">
        <f t="shared" si="1041"/>
        <v>10.573655971759493</v>
      </c>
      <c r="O217" s="83">
        <f t="shared" si="1041"/>
        <v>10.573655971759493</v>
      </c>
      <c r="P217" s="83">
        <f t="shared" si="1041"/>
        <v>10.573655971759493</v>
      </c>
      <c r="Q217" s="83">
        <f t="shared" si="1041"/>
        <v>10.573655971759493</v>
      </c>
      <c r="R217" s="83">
        <f t="shared" ref="R217:AX217" si="1042">R237/R211/R207*1000000</f>
        <v>10.573655971759493</v>
      </c>
      <c r="S217" s="83">
        <f t="shared" si="1042"/>
        <v>9.8539251269111396</v>
      </c>
      <c r="T217" s="83">
        <f t="shared" si="1042"/>
        <v>9.0430614737135002</v>
      </c>
      <c r="U217" s="82">
        <f t="shared" si="1042"/>
        <v>10.287252229922659</v>
      </c>
      <c r="V217" s="82">
        <f t="shared" si="1042"/>
        <v>9.6096370792833987</v>
      </c>
      <c r="W217" s="82">
        <f t="shared" si="1042"/>
        <v>6.537737358323386</v>
      </c>
      <c r="X217" s="82">
        <f t="shared" si="1042"/>
        <v>9.7047910703627522</v>
      </c>
      <c r="Y217" s="83">
        <f t="shared" si="1042"/>
        <v>9.1371330457588851</v>
      </c>
      <c r="Z217" s="82">
        <f t="shared" si="1042"/>
        <v>7.4676195718011629</v>
      </c>
      <c r="AA217" s="82">
        <f t="shared" si="1042"/>
        <v>3.0793663948798415</v>
      </c>
      <c r="AB217" s="82">
        <f t="shared" si="1042"/>
        <v>1.4522369734581553</v>
      </c>
      <c r="AC217" s="82">
        <f t="shared" si="1042"/>
        <v>1.8674624546673491</v>
      </c>
      <c r="AD217" s="83">
        <f t="shared" si="1042"/>
        <v>3.2368104119221477</v>
      </c>
      <c r="AE217" s="82">
        <f t="shared" si="1042"/>
        <v>-1.4391461911532513</v>
      </c>
      <c r="AF217" s="82">
        <f t="shared" si="1042"/>
        <v>2.3760702291042781</v>
      </c>
      <c r="AG217" s="82">
        <f t="shared" si="1042"/>
        <v>6.346775371817416</v>
      </c>
      <c r="AH217" s="82">
        <f t="shared" si="1042"/>
        <v>8.3980982226638154</v>
      </c>
      <c r="AI217" s="83">
        <f t="shared" si="1042"/>
        <v>4.01115900429558</v>
      </c>
      <c r="AJ217" s="82">
        <f t="shared" si="1042"/>
        <v>8.7594422649296764</v>
      </c>
      <c r="AK217" s="82">
        <f t="shared" si="1042"/>
        <v>6.7727549074013096</v>
      </c>
      <c r="AL217" s="82">
        <f t="shared" si="1042"/>
        <v>9.6851712334407729</v>
      </c>
      <c r="AM217" s="82">
        <f t="shared" si="1042"/>
        <v>17.06915092353589</v>
      </c>
      <c r="AN217" s="83">
        <f t="shared" si="1042"/>
        <v>10.607060776761069</v>
      </c>
      <c r="AO217" s="82">
        <f t="shared" si="1042"/>
        <v>20.120385102094446</v>
      </c>
      <c r="AP217" s="82">
        <f t="shared" si="1042"/>
        <v>20.823685612485054</v>
      </c>
      <c r="AQ217" s="82">
        <f t="shared" si="1042"/>
        <v>18.515295412427513</v>
      </c>
      <c r="AR217" s="82">
        <f t="shared" si="1042"/>
        <v>14.627383772336779</v>
      </c>
      <c r="AS217" s="83">
        <f t="shared" si="1042"/>
        <v>18.585794301466791</v>
      </c>
      <c r="AT217" s="82">
        <f t="shared" si="1042"/>
        <v>12.455019337872548</v>
      </c>
      <c r="AU217" s="82">
        <f t="shared" si="1042"/>
        <v>8.8922764772031808</v>
      </c>
      <c r="AV217" s="82">
        <f t="shared" si="1042"/>
        <v>9.4080806230924452</v>
      </c>
      <c r="AW217" s="82">
        <f t="shared" si="1042"/>
        <v>11.347035373160788</v>
      </c>
      <c r="AX217" s="83">
        <f t="shared" si="1042"/>
        <v>10.473866785160325</v>
      </c>
      <c r="AY217" s="82">
        <f t="shared" ref="AY217:BH217" si="1043">AY237/AY211/AY207*1000000</f>
        <v>10.303909455967084</v>
      </c>
      <c r="AZ217" s="82">
        <f t="shared" si="1043"/>
        <v>8.7422862715636107</v>
      </c>
      <c r="BA217" s="82">
        <f t="shared" si="1043"/>
        <v>9.2022145263070509</v>
      </c>
      <c r="BB217" s="82">
        <f t="shared" si="1043"/>
        <v>9.7584504209182761</v>
      </c>
      <c r="BC217" s="83">
        <f t="shared" si="1043"/>
        <v>9.4838845919082662</v>
      </c>
      <c r="BD217" s="82">
        <f t="shared" si="1043"/>
        <v>10.303909455967082</v>
      </c>
      <c r="BE217" s="82">
        <f t="shared" si="1043"/>
        <v>8.7422862715636107</v>
      </c>
      <c r="BF217" s="82">
        <f t="shared" si="1043"/>
        <v>9.2022145263070527</v>
      </c>
      <c r="BG217" s="82">
        <f t="shared" si="1043"/>
        <v>9.7584504209182761</v>
      </c>
      <c r="BH217" s="83">
        <f t="shared" si="1043"/>
        <v>9.4838845919082662</v>
      </c>
      <c r="BI217" s="83">
        <f t="shared" ref="BI217:BL217" si="1044">BI237/BI211/BI207*1000000</f>
        <v>9.4579723389249093</v>
      </c>
      <c r="BJ217" s="83">
        <f t="shared" si="1044"/>
        <v>9.4838845919082662</v>
      </c>
      <c r="BK217" s="83">
        <f t="shared" si="1044"/>
        <v>9.4838845919082662</v>
      </c>
      <c r="BL217" s="83">
        <f t="shared" si="1044"/>
        <v>9.4838845919082662</v>
      </c>
    </row>
    <row r="218" spans="3:64" s="41" customFormat="1" ht="12.75" customHeight="1">
      <c r="C218" s="84" t="s">
        <v>283</v>
      </c>
      <c r="E218" s="83">
        <f t="shared" ref="E218:Q218" si="1045">E240/E211*1000000/E207</f>
        <v>20.494208877241427</v>
      </c>
      <c r="F218" s="83">
        <f t="shared" si="1045"/>
        <v>20.494208877241427</v>
      </c>
      <c r="G218" s="83">
        <f t="shared" si="1045"/>
        <v>20.494208877241427</v>
      </c>
      <c r="H218" s="83">
        <f t="shared" si="1045"/>
        <v>20.494208877241427</v>
      </c>
      <c r="I218" s="83">
        <f t="shared" si="1045"/>
        <v>20.494208877241427</v>
      </c>
      <c r="J218" s="83">
        <f t="shared" si="1045"/>
        <v>20.494208877241427</v>
      </c>
      <c r="K218" s="83">
        <f t="shared" si="1045"/>
        <v>20.494208877241427</v>
      </c>
      <c r="L218" s="83">
        <f t="shared" si="1045"/>
        <v>20.494208877241427</v>
      </c>
      <c r="M218" s="83">
        <f t="shared" si="1045"/>
        <v>20.494208877241427</v>
      </c>
      <c r="N218" s="83">
        <f t="shared" si="1045"/>
        <v>20.494208877241427</v>
      </c>
      <c r="O218" s="83">
        <f t="shared" si="1045"/>
        <v>20.494208877241427</v>
      </c>
      <c r="P218" s="83">
        <f t="shared" si="1045"/>
        <v>20.494208877241427</v>
      </c>
      <c r="Q218" s="83">
        <f t="shared" si="1045"/>
        <v>20.494208877241427</v>
      </c>
      <c r="R218" s="83">
        <f t="shared" ref="R218:AX218" si="1046">R240/R211*1000000/R207</f>
        <v>20.494208877241427</v>
      </c>
      <c r="S218" s="83">
        <f t="shared" si="1046"/>
        <v>21.346184892641247</v>
      </c>
      <c r="T218" s="83">
        <f t="shared" si="1046"/>
        <v>21.003486555796893</v>
      </c>
      <c r="U218" s="82">
        <f t="shared" si="1046"/>
        <v>20.459102591881443</v>
      </c>
      <c r="V218" s="82">
        <f t="shared" si="1046"/>
        <v>12.233606697677237</v>
      </c>
      <c r="W218" s="82">
        <f t="shared" si="1046"/>
        <v>18.821444574827186</v>
      </c>
      <c r="X218" s="82">
        <f t="shared" si="1046"/>
        <v>24.219287979116427</v>
      </c>
      <c r="Y218" s="83">
        <f t="shared" si="1046"/>
        <v>18.345057382409092</v>
      </c>
      <c r="Z218" s="82">
        <f t="shared" si="1046"/>
        <v>23.908675007659689</v>
      </c>
      <c r="AA218" s="82">
        <f t="shared" si="1046"/>
        <v>25.112763875485609</v>
      </c>
      <c r="AB218" s="82">
        <f t="shared" si="1046"/>
        <v>26.925901917724158</v>
      </c>
      <c r="AC218" s="82">
        <f t="shared" si="1046"/>
        <v>25.498045054111884</v>
      </c>
      <c r="AD218" s="83">
        <f t="shared" si="1046"/>
        <v>25.478507660110083</v>
      </c>
      <c r="AE218" s="82">
        <f t="shared" si="1046"/>
        <v>25.685100665836842</v>
      </c>
      <c r="AF218" s="82">
        <f t="shared" si="1046"/>
        <v>26.876492497132354</v>
      </c>
      <c r="AG218" s="82">
        <f t="shared" si="1046"/>
        <v>27.675394648537168</v>
      </c>
      <c r="AH218" s="82">
        <f t="shared" si="1046"/>
        <v>29.719936487982508</v>
      </c>
      <c r="AI218" s="83">
        <f t="shared" si="1046"/>
        <v>27.511629804070118</v>
      </c>
      <c r="AJ218" s="82">
        <f t="shared" si="1046"/>
        <v>28.071598439577784</v>
      </c>
      <c r="AK218" s="82">
        <f t="shared" si="1046"/>
        <v>27.729181946108099</v>
      </c>
      <c r="AL218" s="82">
        <f t="shared" si="1046"/>
        <v>28.978186983887664</v>
      </c>
      <c r="AM218" s="82">
        <f t="shared" si="1046"/>
        <v>28.613504205154374</v>
      </c>
      <c r="AN218" s="83">
        <f t="shared" si="1046"/>
        <v>28.377398988343128</v>
      </c>
      <c r="AO218" s="82">
        <f t="shared" si="1046"/>
        <v>28.363721413272458</v>
      </c>
      <c r="AP218" s="82">
        <f t="shared" si="1046"/>
        <v>28.972084330413985</v>
      </c>
      <c r="AQ218" s="82">
        <f t="shared" si="1046"/>
        <v>29.04747519345619</v>
      </c>
      <c r="AR218" s="82">
        <f t="shared" si="1046"/>
        <v>30.848497418375924</v>
      </c>
      <c r="AS218" s="83">
        <f t="shared" si="1046"/>
        <v>29.281247239281246</v>
      </c>
      <c r="AT218" s="82">
        <f t="shared" si="1046"/>
        <v>29.659242311120796</v>
      </c>
      <c r="AU218" s="82">
        <f t="shared" si="1046"/>
        <v>29.869478094508999</v>
      </c>
      <c r="AV218" s="82">
        <f t="shared" si="1046"/>
        <v>29.932930472596091</v>
      </c>
      <c r="AW218" s="82">
        <f t="shared" si="1046"/>
        <v>29.829610298289996</v>
      </c>
      <c r="AX218" s="83">
        <f t="shared" si="1046"/>
        <v>29.834486135830318</v>
      </c>
      <c r="AY218" s="82">
        <f t="shared" ref="AY218:BH218" si="1047">AY240/AY211*1000000/AY207</f>
        <v>28.177213716954938</v>
      </c>
      <c r="AZ218" s="82">
        <f t="shared" si="1047"/>
        <v>28.375144981391983</v>
      </c>
      <c r="BA218" s="82">
        <f t="shared" si="1047"/>
        <v>28.436909620436911</v>
      </c>
      <c r="BB218" s="82">
        <f t="shared" si="1047"/>
        <v>28.335477007383275</v>
      </c>
      <c r="BC218" s="83">
        <f t="shared" si="1047"/>
        <v>28.343663676159196</v>
      </c>
      <c r="BD218" s="82">
        <f t="shared" si="1047"/>
        <v>27.332136843735711</v>
      </c>
      <c r="BE218" s="82">
        <f t="shared" si="1047"/>
        <v>27.523670162113607</v>
      </c>
      <c r="BF218" s="82">
        <f t="shared" si="1047"/>
        <v>27.584012076213074</v>
      </c>
      <c r="BG218" s="82">
        <f t="shared" si="1047"/>
        <v>27.48452340476717</v>
      </c>
      <c r="BH218" s="83">
        <f t="shared" si="1047"/>
        <v>27.493186830622385</v>
      </c>
      <c r="BI218" s="83">
        <f t="shared" ref="BI218:BL218" si="1048">BI240/BI211*1000000/BI207</f>
        <v>26.823241021671322</v>
      </c>
      <c r="BJ218" s="83">
        <f t="shared" si="1048"/>
        <v>26.173313691046491</v>
      </c>
      <c r="BK218" s="83">
        <f t="shared" si="1048"/>
        <v>25.542928246198215</v>
      </c>
      <c r="BL218" s="83">
        <f t="shared" si="1048"/>
        <v>24.931457449142766</v>
      </c>
    </row>
    <row r="219" spans="3:64" s="41" customFormat="1" ht="12.75" customHeight="1">
      <c r="C219" s="84" t="s">
        <v>285</v>
      </c>
      <c r="E219" s="83">
        <f t="shared" ref="E219:Q219" si="1049">E246/E211*1000000/E207</f>
        <v>3.637536065343375</v>
      </c>
      <c r="F219" s="83">
        <f t="shared" si="1049"/>
        <v>3.637536065343375</v>
      </c>
      <c r="G219" s="83">
        <f t="shared" si="1049"/>
        <v>3.637536065343375</v>
      </c>
      <c r="H219" s="83">
        <f t="shared" si="1049"/>
        <v>3.637536065343375</v>
      </c>
      <c r="I219" s="83">
        <f t="shared" si="1049"/>
        <v>3.637536065343375</v>
      </c>
      <c r="J219" s="83">
        <f t="shared" si="1049"/>
        <v>3.637536065343375</v>
      </c>
      <c r="K219" s="83">
        <f t="shared" si="1049"/>
        <v>3.637536065343375</v>
      </c>
      <c r="L219" s="83">
        <f t="shared" si="1049"/>
        <v>3.637536065343375</v>
      </c>
      <c r="M219" s="83">
        <f t="shared" si="1049"/>
        <v>3.637536065343375</v>
      </c>
      <c r="N219" s="83">
        <f t="shared" si="1049"/>
        <v>3.637536065343375</v>
      </c>
      <c r="O219" s="83">
        <f t="shared" si="1049"/>
        <v>3.637536065343375</v>
      </c>
      <c r="P219" s="83">
        <f t="shared" si="1049"/>
        <v>3.637536065343375</v>
      </c>
      <c r="Q219" s="83">
        <f t="shared" si="1049"/>
        <v>3.637536065343375</v>
      </c>
      <c r="R219" s="83">
        <f>R246/R211*1000000/R207</f>
        <v>3.637536065343375</v>
      </c>
      <c r="S219" s="83">
        <f t="shared" ref="S219:AX219" si="1050">S246/S211*1000000/S207</f>
        <v>4.053981332552036</v>
      </c>
      <c r="T219" s="83">
        <f t="shared" si="1050"/>
        <v>3.7098757696987228</v>
      </c>
      <c r="U219" s="82">
        <f t="shared" si="1050"/>
        <v>3.429084076640887</v>
      </c>
      <c r="V219" s="82">
        <f t="shared" si="1050"/>
        <v>2.9193834164911592</v>
      </c>
      <c r="W219" s="82">
        <f t="shared" si="1050"/>
        <v>3.2349357862984225</v>
      </c>
      <c r="X219" s="82">
        <f t="shared" si="1050"/>
        <v>4.069751094023089</v>
      </c>
      <c r="Y219" s="83">
        <f t="shared" si="1050"/>
        <v>3.347416755004085</v>
      </c>
      <c r="Z219" s="82">
        <f t="shared" si="1050"/>
        <v>4.640372655728294</v>
      </c>
      <c r="AA219" s="82">
        <f t="shared" si="1050"/>
        <v>4.5659570682701105</v>
      </c>
      <c r="AB219" s="82">
        <f t="shared" si="1050"/>
        <v>4.2138679393785816</v>
      </c>
      <c r="AC219" s="82">
        <f t="shared" si="1050"/>
        <v>4.5010633522751489</v>
      </c>
      <c r="AD219" s="83">
        <f t="shared" si="1050"/>
        <v>4.4717380791213603</v>
      </c>
      <c r="AE219" s="82">
        <f t="shared" si="1050"/>
        <v>5.7321924562883737</v>
      </c>
      <c r="AF219" s="82">
        <f t="shared" si="1050"/>
        <v>5.7608495177339583</v>
      </c>
      <c r="AG219" s="82">
        <f t="shared" si="1050"/>
        <v>5.3105671478472249</v>
      </c>
      <c r="AH219" s="82">
        <f t="shared" si="1050"/>
        <v>5.1554991866908439</v>
      </c>
      <c r="AI219" s="83">
        <f t="shared" si="1050"/>
        <v>5.487448623565566</v>
      </c>
      <c r="AJ219" s="82">
        <f t="shared" si="1050"/>
        <v>5.0809363269014653</v>
      </c>
      <c r="AK219" s="82">
        <f t="shared" si="1050"/>
        <v>5.866976135590801</v>
      </c>
      <c r="AL219" s="82">
        <f t="shared" si="1050"/>
        <v>4.0403209337108219</v>
      </c>
      <c r="AM219" s="82">
        <f t="shared" si="1050"/>
        <v>5.0918843938567218</v>
      </c>
      <c r="AN219" s="83">
        <f t="shared" si="1050"/>
        <v>5.0044102340579437</v>
      </c>
      <c r="AO219" s="82">
        <f t="shared" si="1050"/>
        <v>3.3637795526721361</v>
      </c>
      <c r="AP219" s="82">
        <f t="shared" si="1050"/>
        <v>4.8890392307573602</v>
      </c>
      <c r="AQ219" s="82">
        <f t="shared" si="1050"/>
        <v>3.7346753820157947</v>
      </c>
      <c r="AR219" s="82">
        <f t="shared" si="1050"/>
        <v>4.9121811175757841</v>
      </c>
      <c r="AS219" s="83">
        <f t="shared" si="1050"/>
        <v>4.2153878518142633</v>
      </c>
      <c r="AT219" s="82">
        <f t="shared" si="1050"/>
        <v>5.0984097850356784</v>
      </c>
      <c r="AU219" s="82">
        <f t="shared" si="1050"/>
        <v>5.2710843696192358</v>
      </c>
      <c r="AV219" s="82">
        <f t="shared" si="1050"/>
        <v>4.9613729325279632</v>
      </c>
      <c r="AW219" s="82">
        <f t="shared" si="1050"/>
        <v>5.4771266897372257</v>
      </c>
      <c r="AX219" s="83">
        <f t="shared" si="1050"/>
        <v>5.2016037952249254</v>
      </c>
      <c r="AY219" s="82">
        <f t="shared" ref="AY219:BH219" si="1051">AY246/AY211*1000000/AY207</f>
        <v>4.9725964565413516</v>
      </c>
      <c r="AZ219" s="82">
        <f t="shared" si="1051"/>
        <v>5.1374997405031548</v>
      </c>
      <c r="BA219" s="82">
        <f t="shared" si="1051"/>
        <v>4.8198056799718749</v>
      </c>
      <c r="BB219" s="82">
        <f t="shared" si="1051"/>
        <v>5.3300473756526108</v>
      </c>
      <c r="BC219" s="83">
        <f t="shared" si="1051"/>
        <v>5.0645568284267348</v>
      </c>
      <c r="BD219" s="82">
        <f t="shared" si="1051"/>
        <v>4.9463828324162256</v>
      </c>
      <c r="BE219" s="82">
        <f t="shared" si="1051"/>
        <v>5.1137888335462378</v>
      </c>
      <c r="BF219" s="82">
        <f t="shared" si="1051"/>
        <v>4.8063503795283848</v>
      </c>
      <c r="BG219" s="82">
        <f t="shared" si="1051"/>
        <v>5.2981670822610054</v>
      </c>
      <c r="BH219" s="83">
        <f t="shared" si="1051"/>
        <v>5.0409339154037145</v>
      </c>
      <c r="BI219" s="83">
        <f t="shared" ref="BI219:BL219" si="1052">BI246/BI211*1000000/BI207</f>
        <v>5.0146103007632545</v>
      </c>
      <c r="BJ219" s="83">
        <f t="shared" si="1052"/>
        <v>4.9950685902340668</v>
      </c>
      <c r="BK219" s="83">
        <f t="shared" si="1052"/>
        <v>4.9728081916854139</v>
      </c>
      <c r="BL219" s="83">
        <f t="shared" si="1052"/>
        <v>4.9509842715396752</v>
      </c>
    </row>
    <row r="220" spans="3:64" s="41" customFormat="1" ht="12.75" customHeight="1">
      <c r="C220" s="84" t="s">
        <v>286</v>
      </c>
      <c r="E220" s="83">
        <f t="shared" ref="E220:Q220" si="1053">E249/E211*1000000/E207</f>
        <v>1.3682095882143832</v>
      </c>
      <c r="F220" s="83">
        <f t="shared" si="1053"/>
        <v>1.3682095882143832</v>
      </c>
      <c r="G220" s="83">
        <f t="shared" si="1053"/>
        <v>1.3682095882143832</v>
      </c>
      <c r="H220" s="83">
        <f t="shared" si="1053"/>
        <v>1.3682095882143832</v>
      </c>
      <c r="I220" s="83">
        <f t="shared" si="1053"/>
        <v>1.3682095882143832</v>
      </c>
      <c r="J220" s="83">
        <f t="shared" si="1053"/>
        <v>1.3682095882143832</v>
      </c>
      <c r="K220" s="83">
        <f t="shared" si="1053"/>
        <v>1.3682095882143832</v>
      </c>
      <c r="L220" s="83">
        <f t="shared" si="1053"/>
        <v>1.3682095882143832</v>
      </c>
      <c r="M220" s="83">
        <f t="shared" si="1053"/>
        <v>1.3682095882143832</v>
      </c>
      <c r="N220" s="83">
        <f t="shared" si="1053"/>
        <v>1.3682095882143832</v>
      </c>
      <c r="O220" s="83">
        <f t="shared" si="1053"/>
        <v>1.3682095882143832</v>
      </c>
      <c r="P220" s="83">
        <f t="shared" si="1053"/>
        <v>1.3682095882143832</v>
      </c>
      <c r="Q220" s="83">
        <f t="shared" si="1053"/>
        <v>1.3682095882143832</v>
      </c>
      <c r="R220" s="83">
        <f>R249/R211*1000000/R207</f>
        <v>1.3682095882143832</v>
      </c>
      <c r="S220" s="83">
        <f t="shared" ref="S220:AX220" si="1054">S249/S211*1000000/S207</f>
        <v>1.7858246184693332</v>
      </c>
      <c r="T220" s="83">
        <f t="shared" si="1054"/>
        <v>1.8913092159248388</v>
      </c>
      <c r="U220" s="82">
        <f t="shared" si="1054"/>
        <v>1.945345774248195</v>
      </c>
      <c r="V220" s="82">
        <f t="shared" si="1054"/>
        <v>2.2938012558144822</v>
      </c>
      <c r="W220" s="82">
        <f t="shared" si="1054"/>
        <v>2.488412143306479</v>
      </c>
      <c r="X220" s="82">
        <f t="shared" si="1054"/>
        <v>2.7321405945889272</v>
      </c>
      <c r="Y220" s="83">
        <f t="shared" si="1054"/>
        <v>2.3057734747460161</v>
      </c>
      <c r="Z220" s="82">
        <f t="shared" si="1054"/>
        <v>3.1960182529519381</v>
      </c>
      <c r="AA220" s="82">
        <f t="shared" si="1054"/>
        <v>2.6015336784329697</v>
      </c>
      <c r="AB220" s="82">
        <f t="shared" si="1054"/>
        <v>0.99990086697118885</v>
      </c>
      <c r="AC220" s="82">
        <f t="shared" si="1054"/>
        <v>0.98161488001745267</v>
      </c>
      <c r="AD220" s="83">
        <f t="shared" si="1054"/>
        <v>1.8523915007988196</v>
      </c>
      <c r="AE220" s="82">
        <f t="shared" si="1054"/>
        <v>0.12196154162315688</v>
      </c>
      <c r="AF220" s="82">
        <f t="shared" si="1054"/>
        <v>1.0087090595254009</v>
      </c>
      <c r="AG220" s="82">
        <f t="shared" si="1054"/>
        <v>0.58286712598323209</v>
      </c>
      <c r="AH220" s="82">
        <f t="shared" si="1054"/>
        <v>1.9129001507178696</v>
      </c>
      <c r="AI220" s="83">
        <f t="shared" si="1054"/>
        <v>0.90980639327103763</v>
      </c>
      <c r="AJ220" s="82">
        <f t="shared" si="1054"/>
        <v>2.5519634945070706</v>
      </c>
      <c r="AK220" s="82">
        <f t="shared" si="1054"/>
        <v>2.7173363154315284</v>
      </c>
      <c r="AL220" s="82">
        <f t="shared" si="1054"/>
        <v>3.1317320156036033</v>
      </c>
      <c r="AM220" s="82">
        <f t="shared" si="1054"/>
        <v>3.0922374861478064</v>
      </c>
      <c r="AN220" s="83">
        <f t="shared" si="1054"/>
        <v>2.8871597504180442</v>
      </c>
      <c r="AO220" s="82">
        <f t="shared" si="1054"/>
        <v>2.9277340551035258</v>
      </c>
      <c r="AP220" s="82">
        <f t="shared" si="1054"/>
        <v>2.9978059480775583</v>
      </c>
      <c r="AQ220" s="82">
        <f t="shared" si="1054"/>
        <v>3.102349391409946</v>
      </c>
      <c r="AR220" s="82">
        <f t="shared" si="1054"/>
        <v>3.1219639991703874</v>
      </c>
      <c r="AS220" s="83">
        <f t="shared" si="1054"/>
        <v>3.0367262912947681</v>
      </c>
      <c r="AT220" s="82">
        <f t="shared" si="1054"/>
        <v>3.2592573968264609</v>
      </c>
      <c r="AU220" s="82">
        <f t="shared" si="1054"/>
        <v>3.2569301796021297</v>
      </c>
      <c r="AV220" s="82">
        <f t="shared" si="1054"/>
        <v>3.3144441582448221</v>
      </c>
      <c r="AW220" s="82">
        <f t="shared" si="1054"/>
        <v>3.3822893900767732</v>
      </c>
      <c r="AX220" s="83">
        <f t="shared" si="1054"/>
        <v>3.3046761833821887</v>
      </c>
      <c r="AY220" s="82">
        <f t="shared" ref="AY220:BH220" si="1055">AY249/AY211*1000000/AY207</f>
        <v>3.2592573968264609</v>
      </c>
      <c r="AZ220" s="82">
        <f t="shared" si="1055"/>
        <v>3.2569301796021288</v>
      </c>
      <c r="BA220" s="82">
        <f t="shared" si="1055"/>
        <v>3.3144441582448216</v>
      </c>
      <c r="BB220" s="82">
        <f t="shared" si="1055"/>
        <v>3.3822893900767723</v>
      </c>
      <c r="BC220" s="83">
        <f t="shared" si="1055"/>
        <v>3.3050282157811748</v>
      </c>
      <c r="BD220" s="82">
        <f t="shared" si="1055"/>
        <v>3.6678285919286346</v>
      </c>
      <c r="BE220" s="82">
        <f t="shared" si="1055"/>
        <v>3.6715459623343745</v>
      </c>
      <c r="BF220" s="82">
        <f t="shared" si="1055"/>
        <v>3.7282350127834607</v>
      </c>
      <c r="BG220" s="82">
        <f t="shared" si="1055"/>
        <v>3.8078032165703015</v>
      </c>
      <c r="BH220" s="83">
        <f t="shared" si="1055"/>
        <v>3.7208661333914748</v>
      </c>
      <c r="BI220" s="83">
        <f t="shared" ref="BI220:BL220" si="1056">BI249/BI211*1000000/BI207</f>
        <v>3.720866133391473</v>
      </c>
      <c r="BJ220" s="83">
        <f t="shared" si="1056"/>
        <v>3.7208661333914734</v>
      </c>
      <c r="BK220" s="83">
        <f t="shared" si="1056"/>
        <v>3.7208661333914734</v>
      </c>
      <c r="BL220" s="83">
        <f t="shared" si="1056"/>
        <v>3.7208661333914739</v>
      </c>
    </row>
    <row r="221" spans="3:64" s="41" customFormat="1" ht="12.75" customHeight="1">
      <c r="C221" s="84" t="s">
        <v>283</v>
      </c>
      <c r="E221" s="232">
        <f t="shared" ref="E221:Q221" si="1057">E240/E209*1000</f>
        <v>26.001269122050733</v>
      </c>
      <c r="F221" s="232">
        <f t="shared" si="1057"/>
        <v>26.001269122050733</v>
      </c>
      <c r="G221" s="232">
        <f t="shared" si="1057"/>
        <v>26.001269122050733</v>
      </c>
      <c r="H221" s="232">
        <f t="shared" si="1057"/>
        <v>26.001269122050733</v>
      </c>
      <c r="I221" s="232">
        <f t="shared" si="1057"/>
        <v>26.001269122050733</v>
      </c>
      <c r="J221" s="232">
        <f t="shared" si="1057"/>
        <v>26.001269122050733</v>
      </c>
      <c r="K221" s="232">
        <f t="shared" si="1057"/>
        <v>26.001269122050733</v>
      </c>
      <c r="L221" s="232">
        <f t="shared" si="1057"/>
        <v>26.001269122050733</v>
      </c>
      <c r="M221" s="232">
        <f t="shared" si="1057"/>
        <v>26.001269122050733</v>
      </c>
      <c r="N221" s="232">
        <f t="shared" si="1057"/>
        <v>26.001269122050733</v>
      </c>
      <c r="O221" s="232">
        <f t="shared" si="1057"/>
        <v>26.001269122050733</v>
      </c>
      <c r="P221" s="232">
        <f t="shared" si="1057"/>
        <v>26.001269122050733</v>
      </c>
      <c r="Q221" s="232">
        <f t="shared" si="1057"/>
        <v>26.001269122050733</v>
      </c>
      <c r="R221" s="232">
        <f t="shared" ref="R221:AQ221" si="1058">R240/R209*1000</f>
        <v>26.001269122050733</v>
      </c>
      <c r="S221" s="232">
        <f t="shared" si="1058"/>
        <v>26.791074644786871</v>
      </c>
      <c r="T221" s="232">
        <f t="shared" si="1058"/>
        <v>26.631326517733182</v>
      </c>
      <c r="U221" s="231">
        <f t="shared" si="1058"/>
        <v>30.697306255720189</v>
      </c>
      <c r="V221" s="231">
        <f t="shared" si="1058"/>
        <v>40.882694541231125</v>
      </c>
      <c r="W221" s="231">
        <f t="shared" si="1058"/>
        <v>34.429960686943929</v>
      </c>
      <c r="X221" s="231">
        <f t="shared" si="1058"/>
        <v>33.390881268147218</v>
      </c>
      <c r="Y221" s="232">
        <f t="shared" si="1058"/>
        <v>33.812373017204415</v>
      </c>
      <c r="Z221" s="231">
        <f t="shared" si="1058"/>
        <v>31.564427134047392</v>
      </c>
      <c r="AA221" s="231">
        <f t="shared" si="1058"/>
        <v>31.654676258992804</v>
      </c>
      <c r="AB221" s="231">
        <f t="shared" si="1058"/>
        <v>33.772283436352232</v>
      </c>
      <c r="AC221" s="231">
        <f t="shared" si="1058"/>
        <v>32.718894009216591</v>
      </c>
      <c r="AD221" s="232">
        <f t="shared" si="1058"/>
        <v>32.511694257373186</v>
      </c>
      <c r="AE221" s="231">
        <f t="shared" si="1058"/>
        <v>34.388164984814338</v>
      </c>
      <c r="AF221" s="231">
        <f t="shared" si="1058"/>
        <v>33.828010382575329</v>
      </c>
      <c r="AG221" s="231">
        <f t="shared" si="1058"/>
        <v>34.533846941249365</v>
      </c>
      <c r="AH221" s="231">
        <f t="shared" si="1058"/>
        <v>37.835590401520548</v>
      </c>
      <c r="AI221" s="232">
        <f t="shared" si="1058"/>
        <v>35.130790588922991</v>
      </c>
      <c r="AJ221" s="231">
        <f t="shared" si="1058"/>
        <v>36.13815964720159</v>
      </c>
      <c r="AK221" s="231">
        <f t="shared" si="1058"/>
        <v>33.924343927869849</v>
      </c>
      <c r="AL221" s="231">
        <f t="shared" si="1058"/>
        <v>34.783617589047452</v>
      </c>
      <c r="AM221" s="231">
        <f t="shared" si="1058"/>
        <v>36.912930163289182</v>
      </c>
      <c r="AN221" s="232">
        <f t="shared" si="1058"/>
        <v>35.378429210714053</v>
      </c>
      <c r="AO221" s="231">
        <f t="shared" si="1058"/>
        <v>37.065176100287623</v>
      </c>
      <c r="AP221" s="231">
        <f t="shared" si="1058"/>
        <v>36.252863724478239</v>
      </c>
      <c r="AQ221" s="231">
        <f t="shared" si="1058"/>
        <v>35.594944065087894</v>
      </c>
      <c r="AR221" s="231">
        <f>AR240/AR209*1000</f>
        <v>39.252180676704256</v>
      </c>
      <c r="AS221" s="232">
        <f t="shared" ref="AS221:AX221" si="1059">AS240/AS209*1000</f>
        <v>36.972528936576744</v>
      </c>
      <c r="AT221" s="231">
        <f t="shared" si="1059"/>
        <v>37.578903899474959</v>
      </c>
      <c r="AU221" s="231">
        <f t="shared" si="1059"/>
        <v>36.025326269543868</v>
      </c>
      <c r="AV221" s="231">
        <f t="shared" si="1059"/>
        <v>35.564034830251444</v>
      </c>
      <c r="AW221" s="231">
        <f t="shared" si="1059"/>
        <v>38.179025275799475</v>
      </c>
      <c r="AX221" s="232">
        <f t="shared" si="1059"/>
        <v>36.76835068258243</v>
      </c>
      <c r="AY221" s="231">
        <f t="shared" ref="AY221:BH221" si="1060">AY240/AY209*1000</f>
        <v>35.254459836624868</v>
      </c>
      <c r="AZ221" s="231">
        <f t="shared" si="1060"/>
        <v>33.815181611153719</v>
      </c>
      <c r="BA221" s="231">
        <f t="shared" si="1060"/>
        <v>33.389863463221879</v>
      </c>
      <c r="BB221" s="231">
        <f t="shared" si="1060"/>
        <v>35.808366151008975</v>
      </c>
      <c r="BC221" s="232">
        <f t="shared" si="1060"/>
        <v>34.50406680886735</v>
      </c>
      <c r="BD221" s="231">
        <f t="shared" si="1060"/>
        <v>34.197125744438139</v>
      </c>
      <c r="BE221" s="231">
        <f t="shared" si="1060"/>
        <v>32.80046342486412</v>
      </c>
      <c r="BF221" s="231">
        <f t="shared" si="1060"/>
        <v>32.38841383561239</v>
      </c>
      <c r="BG221" s="231">
        <f t="shared" si="1060"/>
        <v>34.732991341823372</v>
      </c>
      <c r="BH221" s="232">
        <f t="shared" si="1060"/>
        <v>33.468741586515101</v>
      </c>
      <c r="BI221" s="232">
        <f t="shared" ref="BI221:BL221" si="1061">BI240/BI209*1000</f>
        <v>32.662337732556949</v>
      </c>
      <c r="BJ221" s="232">
        <f t="shared" si="1061"/>
        <v>31.870929044943978</v>
      </c>
      <c r="BK221" s="232">
        <f t="shared" si="1061"/>
        <v>31.103316276424035</v>
      </c>
      <c r="BL221" s="232">
        <f t="shared" si="1061"/>
        <v>30.358735646854146</v>
      </c>
    </row>
    <row r="222" spans="3:64" s="41" customFormat="1" ht="12.75" customHeight="1">
      <c r="C222" s="84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1"/>
      <c r="V222" s="231"/>
      <c r="W222" s="231"/>
      <c r="X222" s="231"/>
      <c r="Y222" s="232"/>
      <c r="Z222" s="231"/>
      <c r="AA222" s="231"/>
      <c r="AB222" s="231"/>
      <c r="AC222" s="231"/>
      <c r="AD222" s="232"/>
      <c r="AE222" s="231"/>
      <c r="AF222" s="231"/>
      <c r="AG222" s="231"/>
      <c r="AH222" s="231"/>
      <c r="AI222" s="232"/>
      <c r="AJ222" s="231"/>
      <c r="AK222" s="231"/>
      <c r="AL222" s="231"/>
      <c r="AM222" s="231"/>
      <c r="AN222" s="232"/>
      <c r="AO222" s="231"/>
      <c r="AP222" s="231"/>
      <c r="AQ222" s="231"/>
      <c r="AR222" s="231"/>
      <c r="AS222" s="232"/>
      <c r="AT222" s="231"/>
      <c r="AU222" s="231"/>
      <c r="AV222" s="231"/>
      <c r="AW222" s="231"/>
      <c r="AX222" s="232"/>
      <c r="AY222" s="231"/>
      <c r="AZ222" s="231"/>
      <c r="BA222" s="231"/>
      <c r="BB222" s="231"/>
      <c r="BC222" s="232"/>
      <c r="BD222" s="231"/>
      <c r="BE222" s="231"/>
      <c r="BF222" s="231"/>
      <c r="BG222" s="231"/>
      <c r="BH222" s="232"/>
      <c r="BI222" s="232"/>
      <c r="BJ222" s="232"/>
      <c r="BK222" s="232"/>
      <c r="BL222" s="232"/>
    </row>
    <row r="223" spans="3:64" s="41" customFormat="1" ht="12.75" customHeight="1">
      <c r="C223" s="41" t="s">
        <v>12</v>
      </c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14"/>
      <c r="V223" s="14"/>
      <c r="W223" s="14"/>
      <c r="X223" s="14"/>
      <c r="Y223" s="56"/>
      <c r="Z223" s="14"/>
      <c r="AA223" s="14"/>
      <c r="AB223" s="14"/>
      <c r="AC223" s="14"/>
      <c r="AD223" s="56"/>
      <c r="AE223" s="14"/>
      <c r="AF223" s="14"/>
      <c r="AG223" s="14"/>
      <c r="AH223" s="14"/>
      <c r="AI223" s="56"/>
      <c r="AJ223" s="14"/>
      <c r="AK223" s="14"/>
      <c r="AL223" s="14"/>
      <c r="AM223" s="14"/>
      <c r="AN223" s="56"/>
      <c r="AO223" s="14"/>
      <c r="AP223" s="14"/>
      <c r="AQ223" s="14"/>
      <c r="AR223" s="230"/>
      <c r="AS223" s="56"/>
      <c r="AT223" s="14"/>
      <c r="AU223" s="14"/>
      <c r="AV223" s="14"/>
      <c r="AW223" s="14"/>
      <c r="AX223" s="56"/>
      <c r="AY223" s="14"/>
      <c r="AZ223" s="14"/>
      <c r="BA223" s="14"/>
      <c r="BB223" s="14"/>
      <c r="BC223" s="56"/>
      <c r="BD223" s="14"/>
      <c r="BE223" s="14"/>
      <c r="BF223" s="14"/>
      <c r="BG223" s="14"/>
      <c r="BH223" s="56"/>
      <c r="BI223" s="56"/>
      <c r="BJ223" s="56"/>
      <c r="BK223" s="56"/>
      <c r="BL223" s="56"/>
    </row>
    <row r="224" spans="3:64" s="41" customFormat="1" ht="12.75" customHeight="1">
      <c r="C224" s="84" t="s">
        <v>276</v>
      </c>
      <c r="E224" s="56"/>
      <c r="F224" s="56">
        <f t="shared" ref="F224:F231" si="1062">F208/E208-1</f>
        <v>0</v>
      </c>
      <c r="G224" s="56">
        <f t="shared" ref="G224:G231" si="1063">G208/F208-1</f>
        <v>0</v>
      </c>
      <c r="H224" s="56">
        <f t="shared" ref="H224:H231" si="1064">H208/G208-1</f>
        <v>0</v>
      </c>
      <c r="I224" s="56">
        <f t="shared" ref="I224:I231" si="1065">I208/H208-1</f>
        <v>0</v>
      </c>
      <c r="J224" s="56">
        <f t="shared" ref="J224:J231" si="1066">J208/I208-1</f>
        <v>0</v>
      </c>
      <c r="K224" s="56">
        <f t="shared" ref="K224:K231" si="1067">K208/J208-1</f>
        <v>0</v>
      </c>
      <c r="L224" s="56">
        <f t="shared" ref="L224:L231" si="1068">L208/K208-1</f>
        <v>0</v>
      </c>
      <c r="M224" s="56">
        <f t="shared" ref="M224:M231" si="1069">M208/L208-1</f>
        <v>0</v>
      </c>
      <c r="N224" s="56">
        <f t="shared" ref="N224:N231" si="1070">N208/M208-1</f>
        <v>0</v>
      </c>
      <c r="O224" s="56">
        <f t="shared" ref="O224:O231" si="1071">O208/N208-1</f>
        <v>0</v>
      </c>
      <c r="P224" s="56">
        <f t="shared" ref="P224:P231" si="1072">P208/O208-1</f>
        <v>0</v>
      </c>
      <c r="Q224" s="56">
        <f t="shared" ref="Q224:Q231" si="1073">Q208/P208-1</f>
        <v>0</v>
      </c>
      <c r="R224" s="56">
        <f t="shared" ref="R224:R231" si="1074">R208/Q208-1</f>
        <v>0</v>
      </c>
      <c r="S224" s="56">
        <f t="shared" ref="S224:T231" si="1075">S208/R208-1</f>
        <v>3.6964393482196822E-2</v>
      </c>
      <c r="T224" s="56">
        <f t="shared" si="1075"/>
        <v>4.1178524661719784E-2</v>
      </c>
      <c r="U224" s="14"/>
      <c r="V224" s="14"/>
      <c r="W224" s="14"/>
      <c r="X224" s="14"/>
      <c r="Y224" s="56">
        <f t="shared" ref="Y224:AH231" si="1076">Y208/T208-1</f>
        <v>-0.2428467450319538</v>
      </c>
      <c r="Z224" s="14">
        <f t="shared" si="1076"/>
        <v>-0.46353809564859616</v>
      </c>
      <c r="AA224" s="14">
        <f t="shared" si="1076"/>
        <v>-0.34539626615726671</v>
      </c>
      <c r="AB224" s="14">
        <f t="shared" si="1076"/>
        <v>-4.9784802117846971E-2</v>
      </c>
      <c r="AC224" s="14">
        <f t="shared" si="1076"/>
        <v>0.18870621872766269</v>
      </c>
      <c r="AD224" s="56">
        <f t="shared" si="1076"/>
        <v>-0.22202816138229908</v>
      </c>
      <c r="AE224" s="14">
        <f t="shared" si="1076"/>
        <v>0.25986209795857396</v>
      </c>
      <c r="AF224" s="14">
        <f t="shared" si="1076"/>
        <v>0.18426793121024665</v>
      </c>
      <c r="AG224" s="14">
        <f t="shared" si="1076"/>
        <v>0.10281294968755961</v>
      </c>
      <c r="AH224" s="14">
        <f t="shared" si="1076"/>
        <v>2.6310630640155486E-2</v>
      </c>
      <c r="AI224" s="56">
        <f t="shared" ref="AI224:AR231" si="1077">AI208/AD208-1</f>
        <v>0.13588943374114204</v>
      </c>
      <c r="AJ224" s="14">
        <f t="shared" si="1077"/>
        <v>6.0965891503500513E-2</v>
      </c>
      <c r="AK224" s="14">
        <f t="shared" si="1077"/>
        <v>8.8889840811364307E-2</v>
      </c>
      <c r="AL224" s="14">
        <f t="shared" si="1077"/>
        <v>0.11669923814517347</v>
      </c>
      <c r="AM224" s="14">
        <f t="shared" si="1077"/>
        <v>0.1316102364232612</v>
      </c>
      <c r="AN224" s="56">
        <f t="shared" si="1077"/>
        <v>9.9952746572821383E-2</v>
      </c>
      <c r="AO224" s="14">
        <f t="shared" si="1077"/>
        <v>0.10723286230064799</v>
      </c>
      <c r="AP224" s="14">
        <f t="shared" si="1077"/>
        <v>2.3180402125838162E-2</v>
      </c>
      <c r="AQ224" s="14">
        <f t="shared" si="1077"/>
        <v>-2.1685427030218807E-2</v>
      </c>
      <c r="AR224" s="14">
        <f t="shared" si="1077"/>
        <v>-5.5744053771618507E-2</v>
      </c>
      <c r="AS224" s="56">
        <f t="shared" ref="AS224:BB231" si="1078">AS208/AN208-1</f>
        <v>1.0704486812068703E-2</v>
      </c>
      <c r="AT224" s="14">
        <f t="shared" si="1078"/>
        <v>-0.10808824530972849</v>
      </c>
      <c r="AU224" s="14">
        <f t="shared" si="1078"/>
        <v>-6.1028548830345697E-2</v>
      </c>
      <c r="AV224" s="14">
        <f t="shared" si="1078"/>
        <v>-4.0143689758105117E-2</v>
      </c>
      <c r="AW224" s="14">
        <f t="shared" si="1078"/>
        <v>4.9008285212148728E-4</v>
      </c>
      <c r="AX224" s="56">
        <f t="shared" si="1078"/>
        <v>-5.3047256525734277E-2</v>
      </c>
      <c r="AY224" s="14">
        <f t="shared" si="1078"/>
        <v>9.9999999999997868E-3</v>
      </c>
      <c r="AZ224" s="14">
        <f t="shared" si="1078"/>
        <v>1.0000000000000009E-2</v>
      </c>
      <c r="BA224" s="14">
        <f t="shared" si="1078"/>
        <v>1.9999999999999796E-2</v>
      </c>
      <c r="BB224" s="14">
        <f t="shared" si="1078"/>
        <v>2.0000000000000018E-2</v>
      </c>
      <c r="BC224" s="56">
        <f t="shared" ref="BC224:BH231" si="1079">BC208/AX208-1</f>
        <v>1.5089235496999809E-2</v>
      </c>
      <c r="BD224" s="14">
        <f t="shared" si="1079"/>
        <v>2.0000000000000018E-2</v>
      </c>
      <c r="BE224" s="14">
        <f t="shared" si="1079"/>
        <v>2.0000000000000018E-2</v>
      </c>
      <c r="BF224" s="14">
        <f t="shared" si="1079"/>
        <v>2.0000000000000018E-2</v>
      </c>
      <c r="BG224" s="14">
        <f t="shared" si="1079"/>
        <v>2.0000000000000018E-2</v>
      </c>
      <c r="BH224" s="56">
        <f t="shared" si="1079"/>
        <v>2.0000000000000018E-2</v>
      </c>
      <c r="BI224" s="56">
        <f t="shared" ref="BI224:BI231" si="1080">BI208/BH208-1</f>
        <v>2.2794520547945396E-2</v>
      </c>
      <c r="BJ224" s="56">
        <f t="shared" ref="BJ224:BL224" si="1081">BJ208/BI208-1</f>
        <v>1.7213114754098591E-2</v>
      </c>
      <c r="BK224" s="56">
        <f t="shared" si="1081"/>
        <v>1.9999999999999796E-2</v>
      </c>
      <c r="BL224" s="56">
        <f t="shared" si="1081"/>
        <v>1.9999999999999796E-2</v>
      </c>
    </row>
    <row r="225" spans="3:67" s="41" customFormat="1" ht="12.75" customHeight="1">
      <c r="C225" s="84" t="s">
        <v>268</v>
      </c>
      <c r="E225" s="56"/>
      <c r="F225" s="56">
        <f t="shared" si="1062"/>
        <v>0</v>
      </c>
      <c r="G225" s="56">
        <f t="shared" si="1063"/>
        <v>0</v>
      </c>
      <c r="H225" s="56">
        <f t="shared" si="1064"/>
        <v>0</v>
      </c>
      <c r="I225" s="56">
        <f t="shared" si="1065"/>
        <v>0</v>
      </c>
      <c r="J225" s="56">
        <f t="shared" si="1066"/>
        <v>0</v>
      </c>
      <c r="K225" s="56">
        <f t="shared" si="1067"/>
        <v>0</v>
      </c>
      <c r="L225" s="56">
        <f t="shared" si="1068"/>
        <v>0</v>
      </c>
      <c r="M225" s="56">
        <f t="shared" si="1069"/>
        <v>0</v>
      </c>
      <c r="N225" s="56">
        <f t="shared" si="1070"/>
        <v>0</v>
      </c>
      <c r="O225" s="56">
        <f t="shared" si="1071"/>
        <v>0</v>
      </c>
      <c r="P225" s="56">
        <f t="shared" si="1072"/>
        <v>0</v>
      </c>
      <c r="Q225" s="56">
        <f t="shared" si="1073"/>
        <v>0</v>
      </c>
      <c r="R225" s="56">
        <f t="shared" si="1074"/>
        <v>0</v>
      </c>
      <c r="S225" s="56">
        <f t="shared" si="1075"/>
        <v>4.8231882233864543E-2</v>
      </c>
      <c r="T225" s="56">
        <f t="shared" si="1075"/>
        <v>3.060836501901143E-2</v>
      </c>
      <c r="U225" s="14"/>
      <c r="V225" s="14"/>
      <c r="W225" s="14"/>
      <c r="X225" s="14"/>
      <c r="Y225" s="56">
        <f t="shared" si="1076"/>
        <v>-0.47913086534820726</v>
      </c>
      <c r="Z225" s="14">
        <f t="shared" si="1076"/>
        <v>-0.39030845721918517</v>
      </c>
      <c r="AA225" s="14">
        <f t="shared" si="1076"/>
        <v>0.73548199767711964</v>
      </c>
      <c r="AB225" s="14">
        <f t="shared" si="1076"/>
        <v>0.3858472998137803</v>
      </c>
      <c r="AC225" s="14">
        <f t="shared" si="1076"/>
        <v>0.27717178058541947</v>
      </c>
      <c r="AD225" s="56">
        <f t="shared" si="1076"/>
        <v>0.12371153236779819</v>
      </c>
      <c r="AE225" s="14">
        <f t="shared" si="1076"/>
        <v>0.24233203505355405</v>
      </c>
      <c r="AF225" s="14">
        <f t="shared" si="1076"/>
        <v>0.18601305002509627</v>
      </c>
      <c r="AG225" s="14">
        <f t="shared" si="1076"/>
        <v>0.10851324315446864</v>
      </c>
      <c r="AH225" s="14">
        <f t="shared" si="1076"/>
        <v>3.4470046082949235E-2</v>
      </c>
      <c r="AI225" s="56">
        <f t="shared" si="1077"/>
        <v>0.1350894071592077</v>
      </c>
      <c r="AJ225" s="14">
        <f t="shared" si="1077"/>
        <v>0.10339309624114179</v>
      </c>
      <c r="AK225" s="14">
        <f t="shared" si="1077"/>
        <v>0.12024602189369138</v>
      </c>
      <c r="AL225" s="14">
        <f t="shared" si="1077"/>
        <v>0.16087061929262192</v>
      </c>
      <c r="AM225" s="14">
        <f t="shared" si="1077"/>
        <v>0.11671418389166077</v>
      </c>
      <c r="AN225" s="56">
        <f t="shared" si="1077"/>
        <v>0.12662574894052314</v>
      </c>
      <c r="AO225" s="14">
        <f t="shared" si="1077"/>
        <v>9.0774558262053384E-2</v>
      </c>
      <c r="AP225" s="14">
        <f t="shared" si="1077"/>
        <v>3.7777665843963248E-4</v>
      </c>
      <c r="AQ225" s="14">
        <f t="shared" si="1077"/>
        <v>-4.1698572920292332E-2</v>
      </c>
      <c r="AR225" s="14">
        <f t="shared" si="1077"/>
        <v>-4.265730546247537E-2</v>
      </c>
      <c r="AS225" s="56">
        <f t="shared" si="1078"/>
        <v>-2.0688760620014568E-3</v>
      </c>
      <c r="AT225" s="14">
        <f t="shared" si="1078"/>
        <v>-8.009985347587778E-2</v>
      </c>
      <c r="AU225" s="14">
        <f t="shared" si="1078"/>
        <v>-2.5830165403690764E-2</v>
      </c>
      <c r="AV225" s="14">
        <f t="shared" si="1078"/>
        <v>-1.0024698532616561E-2</v>
      </c>
      <c r="AW225" s="14">
        <f t="shared" si="1078"/>
        <v>-5.3614089671648602E-3</v>
      </c>
      <c r="AX225" s="56">
        <f t="shared" si="1078"/>
        <v>-2.9797687673440709E-2</v>
      </c>
      <c r="AY225" s="14">
        <f t="shared" si="1078"/>
        <v>2.2796919267299876E-2</v>
      </c>
      <c r="AZ225" s="14">
        <f t="shared" si="1078"/>
        <v>2.2181525039410621E-2</v>
      </c>
      <c r="BA225" s="14">
        <f t="shared" si="1078"/>
        <v>3.2118865394775487E-2</v>
      </c>
      <c r="BB225" s="14">
        <f t="shared" si="1078"/>
        <v>3.3055016606619247E-2</v>
      </c>
      <c r="BC225" s="56">
        <f t="shared" si="1079"/>
        <v>2.7650669391637628E-2</v>
      </c>
      <c r="BD225" s="14">
        <f t="shared" si="1079"/>
        <v>2.0000000000000018E-2</v>
      </c>
      <c r="BE225" s="14">
        <f t="shared" si="1079"/>
        <v>2.0000000000000018E-2</v>
      </c>
      <c r="BF225" s="14">
        <f t="shared" si="1079"/>
        <v>2.0000000000000018E-2</v>
      </c>
      <c r="BG225" s="14">
        <f t="shared" si="1079"/>
        <v>2.000000000000024E-2</v>
      </c>
      <c r="BH225" s="56">
        <f t="shared" si="1079"/>
        <v>2.0000000000000018E-2</v>
      </c>
      <c r="BI225" s="56">
        <f t="shared" si="1080"/>
        <v>2.2507917521092047E-2</v>
      </c>
      <c r="BJ225" s="56">
        <f t="shared" ref="BJ225:BL225" si="1082">BJ209/BI209-1</f>
        <v>1.7213114754098369E-2</v>
      </c>
      <c r="BK225" s="56">
        <f t="shared" si="1082"/>
        <v>2.000000000000024E-2</v>
      </c>
      <c r="BL225" s="56">
        <f t="shared" si="1082"/>
        <v>2.0000000000000018E-2</v>
      </c>
    </row>
    <row r="226" spans="3:67" s="41" customFormat="1" ht="12.75" customHeight="1">
      <c r="C226" s="84" t="s">
        <v>269</v>
      </c>
      <c r="E226" s="56"/>
      <c r="F226" s="56">
        <f t="shared" si="1062"/>
        <v>0</v>
      </c>
      <c r="G226" s="56">
        <f t="shared" si="1063"/>
        <v>0</v>
      </c>
      <c r="H226" s="56">
        <f t="shared" si="1064"/>
        <v>0</v>
      </c>
      <c r="I226" s="56">
        <f t="shared" si="1065"/>
        <v>0</v>
      </c>
      <c r="J226" s="56">
        <f t="shared" si="1066"/>
        <v>0</v>
      </c>
      <c r="K226" s="56">
        <f t="shared" si="1067"/>
        <v>0</v>
      </c>
      <c r="L226" s="56">
        <f t="shared" si="1068"/>
        <v>0</v>
      </c>
      <c r="M226" s="56">
        <f t="shared" si="1069"/>
        <v>0</v>
      </c>
      <c r="N226" s="56">
        <f t="shared" si="1070"/>
        <v>0</v>
      </c>
      <c r="O226" s="56">
        <f t="shared" si="1071"/>
        <v>0</v>
      </c>
      <c r="P226" s="56">
        <f t="shared" si="1072"/>
        <v>0</v>
      </c>
      <c r="Q226" s="56">
        <f t="shared" si="1073"/>
        <v>0</v>
      </c>
      <c r="R226" s="56">
        <f t="shared" si="1074"/>
        <v>0</v>
      </c>
      <c r="S226" s="56">
        <f t="shared" si="1075"/>
        <v>3.6964393482196822E-2</v>
      </c>
      <c r="T226" s="56">
        <f t="shared" si="1075"/>
        <v>4.1178524661719784E-2</v>
      </c>
      <c r="U226" s="14"/>
      <c r="V226" s="14"/>
      <c r="W226" s="14"/>
      <c r="X226" s="14"/>
      <c r="Y226" s="56">
        <f t="shared" si="1076"/>
        <v>-0.24491546977230361</v>
      </c>
      <c r="Z226" s="14">
        <f t="shared" si="1076"/>
        <v>-0.44851605314994591</v>
      </c>
      <c r="AA226" s="14">
        <f t="shared" si="1076"/>
        <v>-0.33399643883879582</v>
      </c>
      <c r="AB226" s="14">
        <f t="shared" si="1076"/>
        <v>-1.4560197132914898E-2</v>
      </c>
      <c r="AC226" s="14">
        <f t="shared" si="1076"/>
        <v>0.23295813074226235</v>
      </c>
      <c r="AD226" s="56">
        <f t="shared" si="1076"/>
        <v>-0.19811646370803571</v>
      </c>
      <c r="AE226" s="14">
        <f t="shared" si="1076"/>
        <v>0.30905791877606426</v>
      </c>
      <c r="AF226" s="14">
        <f t="shared" si="1076"/>
        <v>0.21877596957019319</v>
      </c>
      <c r="AG226" s="14">
        <f t="shared" si="1076"/>
        <v>0.1251298860382013</v>
      </c>
      <c r="AH226" s="14">
        <f t="shared" si="1076"/>
        <v>5.5266510936504476E-2</v>
      </c>
      <c r="AI226" s="56">
        <f t="shared" si="1077"/>
        <v>0.16791534994769663</v>
      </c>
      <c r="AJ226" s="14">
        <f t="shared" si="1077"/>
        <v>4.8454835820461284E-2</v>
      </c>
      <c r="AK226" s="14">
        <f t="shared" si="1077"/>
        <v>9.3452845957682218E-2</v>
      </c>
      <c r="AL226" s="14">
        <f t="shared" si="1077"/>
        <v>0.10839809287832725</v>
      </c>
      <c r="AM226" s="14">
        <f t="shared" si="1077"/>
        <v>0.11394073552346939</v>
      </c>
      <c r="AN226" s="56">
        <f t="shared" si="1077"/>
        <v>9.1718485927408722E-2</v>
      </c>
      <c r="AO226" s="14">
        <f t="shared" si="1077"/>
        <v>8.515681983953316E-2</v>
      </c>
      <c r="AP226" s="14">
        <f t="shared" si="1077"/>
        <v>2.8411996215772284E-2</v>
      </c>
      <c r="AQ226" s="14">
        <f t="shared" si="1077"/>
        <v>-1.1807183211174466E-2</v>
      </c>
      <c r="AR226" s="14">
        <f t="shared" si="1077"/>
        <v>-3.7324878736146094E-2</v>
      </c>
      <c r="AS226" s="56">
        <f t="shared" si="1078"/>
        <v>1.4153978707941439E-2</v>
      </c>
      <c r="AT226" s="14">
        <f t="shared" si="1078"/>
        <v>-7.8116209917222568E-2</v>
      </c>
      <c r="AU226" s="14">
        <f t="shared" si="1078"/>
        <v>-6.0101451083115043E-2</v>
      </c>
      <c r="AV226" s="14">
        <f t="shared" si="1078"/>
        <v>-6.5329828145243685E-2</v>
      </c>
      <c r="AW226" s="14">
        <f t="shared" si="1078"/>
        <v>-3.005719818947461E-2</v>
      </c>
      <c r="AX226" s="56">
        <f t="shared" si="1078"/>
        <v>-5.8719852073699008E-2</v>
      </c>
      <c r="AY226" s="14">
        <f t="shared" si="1078"/>
        <v>1.0000000000000009E-2</v>
      </c>
      <c r="AZ226" s="14">
        <f t="shared" si="1078"/>
        <v>1.0000000000000231E-2</v>
      </c>
      <c r="BA226" s="14">
        <f t="shared" si="1078"/>
        <v>2.0000000000000018E-2</v>
      </c>
      <c r="BB226" s="14">
        <f t="shared" si="1078"/>
        <v>2.0000000000000018E-2</v>
      </c>
      <c r="BC226" s="56">
        <f t="shared" si="1079"/>
        <v>1.5035567366573632E-2</v>
      </c>
      <c r="BD226" s="14">
        <f t="shared" si="1079"/>
        <v>2.0000000000000018E-2</v>
      </c>
      <c r="BE226" s="14">
        <f t="shared" si="1079"/>
        <v>2.0000000000000018E-2</v>
      </c>
      <c r="BF226" s="14">
        <f t="shared" si="1079"/>
        <v>2.000000000000024E-2</v>
      </c>
      <c r="BG226" s="14">
        <f t="shared" si="1079"/>
        <v>2.0000000000000018E-2</v>
      </c>
      <c r="BH226" s="56">
        <f t="shared" si="1079"/>
        <v>2.0000000000000018E-2</v>
      </c>
      <c r="BI226" s="56">
        <f t="shared" si="1080"/>
        <v>2.000000000000024E-2</v>
      </c>
      <c r="BJ226" s="56">
        <f t="shared" ref="BJ226:BL226" si="1083">BJ210/BI210-1</f>
        <v>2.0000000000000018E-2</v>
      </c>
      <c r="BK226" s="56">
        <f t="shared" si="1083"/>
        <v>1.9999999999999796E-2</v>
      </c>
      <c r="BL226" s="56">
        <f t="shared" si="1083"/>
        <v>2.0000000000000018E-2</v>
      </c>
    </row>
    <row r="227" spans="3:67" s="41" customFormat="1" ht="12.75" customHeight="1">
      <c r="C227" s="84" t="s">
        <v>270</v>
      </c>
      <c r="E227" s="56"/>
      <c r="F227" s="56">
        <f t="shared" si="1062"/>
        <v>0</v>
      </c>
      <c r="G227" s="56">
        <f t="shared" si="1063"/>
        <v>0</v>
      </c>
      <c r="H227" s="56">
        <f t="shared" si="1064"/>
        <v>0</v>
      </c>
      <c r="I227" s="56">
        <f t="shared" si="1065"/>
        <v>0</v>
      </c>
      <c r="J227" s="56">
        <f t="shared" si="1066"/>
        <v>0</v>
      </c>
      <c r="K227" s="56">
        <f t="shared" si="1067"/>
        <v>0</v>
      </c>
      <c r="L227" s="56">
        <f t="shared" si="1068"/>
        <v>0</v>
      </c>
      <c r="M227" s="56">
        <f t="shared" si="1069"/>
        <v>0</v>
      </c>
      <c r="N227" s="56">
        <f t="shared" si="1070"/>
        <v>0</v>
      </c>
      <c r="O227" s="56">
        <f t="shared" si="1071"/>
        <v>0</v>
      </c>
      <c r="P227" s="56">
        <f t="shared" si="1072"/>
        <v>0</v>
      </c>
      <c r="Q227" s="56">
        <f t="shared" si="1073"/>
        <v>0</v>
      </c>
      <c r="R227" s="56">
        <f t="shared" si="1074"/>
        <v>0</v>
      </c>
      <c r="S227" s="56">
        <f t="shared" si="1075"/>
        <v>3.6964393482196822E-2</v>
      </c>
      <c r="T227" s="56">
        <f t="shared" si="1075"/>
        <v>4.1178524661719784E-2</v>
      </c>
      <c r="U227" s="14"/>
      <c r="V227" s="14"/>
      <c r="W227" s="14"/>
      <c r="X227" s="14"/>
      <c r="Y227" s="56">
        <f t="shared" si="1076"/>
        <v>-0.24491546977230361</v>
      </c>
      <c r="Z227" s="14">
        <f t="shared" si="1076"/>
        <v>-0.45757740782246947</v>
      </c>
      <c r="AA227" s="14">
        <f t="shared" si="1076"/>
        <v>-0.34539626615726671</v>
      </c>
      <c r="AB227" s="14">
        <f t="shared" si="1076"/>
        <v>-4.978480211784686E-2</v>
      </c>
      <c r="AC227" s="14">
        <f t="shared" si="1076"/>
        <v>0.18870621872766269</v>
      </c>
      <c r="AD227" s="56">
        <f t="shared" si="1076"/>
        <v>-0.21989673168745605</v>
      </c>
      <c r="AE227" s="14">
        <f t="shared" si="1076"/>
        <v>0.25986209795857418</v>
      </c>
      <c r="AF227" s="14">
        <f t="shared" si="1076"/>
        <v>0.18426793121024643</v>
      </c>
      <c r="AG227" s="14">
        <f t="shared" si="1076"/>
        <v>0.10281294968755961</v>
      </c>
      <c r="AH227" s="14">
        <f t="shared" si="1076"/>
        <v>2.6310630640155486E-2</v>
      </c>
      <c r="AI227" s="56">
        <f t="shared" si="1077"/>
        <v>0.13588943374114226</v>
      </c>
      <c r="AJ227" s="14">
        <f t="shared" si="1077"/>
        <v>6.0965891503500513E-2</v>
      </c>
      <c r="AK227" s="14">
        <f t="shared" si="1077"/>
        <v>8.8889840811364307E-2</v>
      </c>
      <c r="AL227" s="14">
        <f t="shared" si="1077"/>
        <v>0.11669923814517347</v>
      </c>
      <c r="AM227" s="14">
        <f t="shared" si="1077"/>
        <v>0.1316102364232612</v>
      </c>
      <c r="AN227" s="56">
        <f t="shared" si="1077"/>
        <v>9.9952746572821161E-2</v>
      </c>
      <c r="AO227" s="14">
        <f t="shared" si="1077"/>
        <v>9.5065468209432069E-2</v>
      </c>
      <c r="AP227" s="14">
        <f t="shared" si="1077"/>
        <v>2.3180402125838162E-2</v>
      </c>
      <c r="AQ227" s="14">
        <f t="shared" si="1077"/>
        <v>-2.1685427030218696E-2</v>
      </c>
      <c r="AR227" s="14">
        <f t="shared" si="1077"/>
        <v>-5.5744053771618507E-2</v>
      </c>
      <c r="AS227" s="56">
        <f t="shared" si="1078"/>
        <v>7.9429991431834157E-3</v>
      </c>
      <c r="AT227" s="14">
        <f t="shared" si="1078"/>
        <v>-9.8178114702058839E-2</v>
      </c>
      <c r="AU227" s="14">
        <f t="shared" si="1078"/>
        <v>-6.1028548830345697E-2</v>
      </c>
      <c r="AV227" s="14">
        <f t="shared" si="1078"/>
        <v>-4.0143689758105228E-2</v>
      </c>
      <c r="AW227" s="14">
        <f t="shared" si="1078"/>
        <v>4.9008285212148728E-4</v>
      </c>
      <c r="AX227" s="56">
        <f t="shared" si="1078"/>
        <v>-5.045286544772265E-2</v>
      </c>
      <c r="AY227" s="14">
        <f t="shared" si="1078"/>
        <v>1.0000000000000009E-2</v>
      </c>
      <c r="AZ227" s="14">
        <f t="shared" si="1078"/>
        <v>1.0000000000000009E-2</v>
      </c>
      <c r="BA227" s="14">
        <f t="shared" si="1078"/>
        <v>2.0000000000000018E-2</v>
      </c>
      <c r="BB227" s="14">
        <f t="shared" si="1078"/>
        <v>2.0000000000000018E-2</v>
      </c>
      <c r="BC227" s="56">
        <f t="shared" si="1079"/>
        <v>1.5089235496999809E-2</v>
      </c>
      <c r="BD227" s="14">
        <f t="shared" si="1079"/>
        <v>2.0000000000000018E-2</v>
      </c>
      <c r="BE227" s="14">
        <f t="shared" si="1079"/>
        <v>2.0000000000000018E-2</v>
      </c>
      <c r="BF227" s="14">
        <f t="shared" si="1079"/>
        <v>2.0000000000000018E-2</v>
      </c>
      <c r="BG227" s="14">
        <f t="shared" si="1079"/>
        <v>2.0000000000000018E-2</v>
      </c>
      <c r="BH227" s="56">
        <f t="shared" si="1079"/>
        <v>2.000000000000024E-2</v>
      </c>
      <c r="BI227" s="56">
        <f t="shared" si="1080"/>
        <v>2.0000000000000018E-2</v>
      </c>
      <c r="BJ227" s="56">
        <f t="shared" ref="BJ227:BL227" si="1084">BJ211/BI211-1</f>
        <v>2.0000000000000018E-2</v>
      </c>
      <c r="BK227" s="56">
        <f t="shared" si="1084"/>
        <v>1.9999999999999796E-2</v>
      </c>
      <c r="BL227" s="56">
        <f t="shared" si="1084"/>
        <v>2.0000000000000018E-2</v>
      </c>
    </row>
    <row r="228" spans="3:67" s="41" customFormat="1" ht="12.75" customHeight="1">
      <c r="C228" s="41" t="s">
        <v>271</v>
      </c>
      <c r="E228" s="56"/>
      <c r="F228" s="57">
        <f t="shared" si="1062"/>
        <v>0</v>
      </c>
      <c r="G228" s="57">
        <f t="shared" si="1063"/>
        <v>0</v>
      </c>
      <c r="H228" s="57">
        <f t="shared" si="1064"/>
        <v>0</v>
      </c>
      <c r="I228" s="57">
        <f t="shared" si="1065"/>
        <v>0</v>
      </c>
      <c r="J228" s="57">
        <f t="shared" si="1066"/>
        <v>0</v>
      </c>
      <c r="K228" s="57">
        <f t="shared" si="1067"/>
        <v>0</v>
      </c>
      <c r="L228" s="57">
        <f t="shared" si="1068"/>
        <v>0</v>
      </c>
      <c r="M228" s="57">
        <f t="shared" si="1069"/>
        <v>0</v>
      </c>
      <c r="N228" s="57">
        <f t="shared" si="1070"/>
        <v>0</v>
      </c>
      <c r="O228" s="57">
        <f t="shared" si="1071"/>
        <v>0</v>
      </c>
      <c r="P228" s="57">
        <f t="shared" si="1072"/>
        <v>0</v>
      </c>
      <c r="Q228" s="57">
        <f t="shared" si="1073"/>
        <v>0</v>
      </c>
      <c r="R228" s="57">
        <f t="shared" si="1074"/>
        <v>0</v>
      </c>
      <c r="S228" s="57">
        <f t="shared" si="1075"/>
        <v>1.0865839581849945E-2</v>
      </c>
      <c r="T228" s="57">
        <f t="shared" si="1075"/>
        <v>-1.015211070180555E-2</v>
      </c>
      <c r="U228" s="58"/>
      <c r="V228" s="58"/>
      <c r="W228" s="58"/>
      <c r="X228" s="58"/>
      <c r="Y228" s="57">
        <f t="shared" si="1076"/>
        <v>-0.31206908081802454</v>
      </c>
      <c r="Z228" s="58">
        <f t="shared" si="1076"/>
        <v>0.13650482510579653</v>
      </c>
      <c r="AA228" s="58">
        <f t="shared" si="1076"/>
        <v>1.6511947731939833</v>
      </c>
      <c r="AB228" s="58">
        <f t="shared" si="1076"/>
        <v>0.45845625591188943</v>
      </c>
      <c r="AC228" s="58">
        <f t="shared" si="1076"/>
        <v>7.4421720408299086E-2</v>
      </c>
      <c r="AD228" s="57">
        <f t="shared" si="1076"/>
        <v>0.44441157968443545</v>
      </c>
      <c r="AE228" s="58">
        <f t="shared" si="1076"/>
        <v>-1.3914271199542361E-2</v>
      </c>
      <c r="AF228" s="58">
        <f t="shared" si="1076"/>
        <v>1.4735844557289823E-3</v>
      </c>
      <c r="AG228" s="58">
        <f t="shared" si="1076"/>
        <v>5.1688670037144391E-3</v>
      </c>
      <c r="AH228" s="58">
        <f t="shared" si="1076"/>
        <v>7.9502396245321183E-3</v>
      </c>
      <c r="AI228" s="57">
        <f t="shared" si="1077"/>
        <v>-7.0431730252062952E-4</v>
      </c>
      <c r="AJ228" s="58">
        <f t="shared" si="1077"/>
        <v>3.9989225928382721E-2</v>
      </c>
      <c r="AK228" s="58">
        <f t="shared" si="1077"/>
        <v>2.8796467656418523E-2</v>
      </c>
      <c r="AL228" s="58">
        <f t="shared" si="1077"/>
        <v>3.9555306960553427E-2</v>
      </c>
      <c r="AM228" s="58">
        <f t="shared" si="1077"/>
        <v>-1.316358941633744E-2</v>
      </c>
      <c r="AN228" s="57">
        <f t="shared" si="1077"/>
        <v>2.4249225660655238E-2</v>
      </c>
      <c r="AO228" s="58">
        <f t="shared" si="1077"/>
        <v>-1.4864356540499557E-2</v>
      </c>
      <c r="AP228" s="58">
        <f t="shared" si="1077"/>
        <v>-2.2286026413350091E-2</v>
      </c>
      <c r="AQ228" s="58">
        <f t="shared" si="1077"/>
        <v>-2.0456759454498985E-2</v>
      </c>
      <c r="AR228" s="58">
        <f t="shared" si="1077"/>
        <v>1.3859323164884696E-2</v>
      </c>
      <c r="AS228" s="57">
        <f t="shared" si="1078"/>
        <v>-1.2638078727006952E-2</v>
      </c>
      <c r="AT228" s="58">
        <f t="shared" si="1078"/>
        <v>3.1380225326854472E-2</v>
      </c>
      <c r="AU228" s="58">
        <f t="shared" si="1078"/>
        <v>3.7486106082148973E-2</v>
      </c>
      <c r="AV228" s="58">
        <f t="shared" si="1078"/>
        <v>3.1378645849500453E-2</v>
      </c>
      <c r="AW228" s="58">
        <f t="shared" si="1078"/>
        <v>-5.8486255082161875E-3</v>
      </c>
      <c r="AX228" s="57">
        <f t="shared" si="1078"/>
        <v>2.4551984259524318E-2</v>
      </c>
      <c r="AY228" s="58">
        <f t="shared" si="1078"/>
        <v>1.2670217096336645E-2</v>
      </c>
      <c r="AZ228" s="58">
        <f t="shared" si="1078"/>
        <v>1.2060915880604428E-2</v>
      </c>
      <c r="BA228" s="58">
        <f t="shared" si="1078"/>
        <v>1.1881240583113239E-2</v>
      </c>
      <c r="BB228" s="58">
        <f t="shared" si="1078"/>
        <v>1.2799035888842125E-2</v>
      </c>
      <c r="BC228" s="57">
        <f t="shared" si="1079"/>
        <v>1.2374708996384376E-2</v>
      </c>
      <c r="BD228" s="58">
        <f t="shared" si="1079"/>
        <v>0</v>
      </c>
      <c r="BE228" s="58">
        <f t="shared" si="1079"/>
        <v>0</v>
      </c>
      <c r="BF228" s="58">
        <f t="shared" si="1079"/>
        <v>0</v>
      </c>
      <c r="BG228" s="58">
        <f t="shared" si="1079"/>
        <v>0</v>
      </c>
      <c r="BH228" s="57">
        <f t="shared" si="1079"/>
        <v>0</v>
      </c>
      <c r="BI228" s="57">
        <f t="shared" si="1080"/>
        <v>-2.8021564556257594E-4</v>
      </c>
      <c r="BJ228" s="57">
        <f t="shared" ref="BJ228:BL228" si="1085">BJ212/BI212-1</f>
        <v>0</v>
      </c>
      <c r="BK228" s="57">
        <f t="shared" si="1085"/>
        <v>0</v>
      </c>
      <c r="BL228" s="57">
        <f t="shared" si="1085"/>
        <v>0</v>
      </c>
    </row>
    <row r="229" spans="3:67" s="41" customFormat="1" ht="12.75" customHeight="1">
      <c r="C229" s="41" t="s">
        <v>272</v>
      </c>
      <c r="E229" s="56"/>
      <c r="F229" s="57">
        <f t="shared" si="1062"/>
        <v>0</v>
      </c>
      <c r="G229" s="57">
        <f t="shared" si="1063"/>
        <v>0</v>
      </c>
      <c r="H229" s="57">
        <f t="shared" si="1064"/>
        <v>0</v>
      </c>
      <c r="I229" s="57">
        <f t="shared" si="1065"/>
        <v>0</v>
      </c>
      <c r="J229" s="57">
        <f t="shared" si="1066"/>
        <v>0</v>
      </c>
      <c r="K229" s="57">
        <f t="shared" si="1067"/>
        <v>0</v>
      </c>
      <c r="L229" s="57">
        <f t="shared" si="1068"/>
        <v>0</v>
      </c>
      <c r="M229" s="57">
        <f t="shared" si="1069"/>
        <v>0</v>
      </c>
      <c r="N229" s="57">
        <f t="shared" si="1070"/>
        <v>0</v>
      </c>
      <c r="O229" s="57">
        <f t="shared" si="1071"/>
        <v>0</v>
      </c>
      <c r="P229" s="57">
        <f t="shared" si="1072"/>
        <v>0</v>
      </c>
      <c r="Q229" s="57">
        <f t="shared" si="1073"/>
        <v>0</v>
      </c>
      <c r="R229" s="57">
        <f t="shared" si="1074"/>
        <v>0</v>
      </c>
      <c r="S229" s="57">
        <f t="shared" si="1075"/>
        <v>2.3289673914602238E-2</v>
      </c>
      <c r="T229" s="57">
        <f t="shared" si="1075"/>
        <v>9.1969296264151623E-3</v>
      </c>
      <c r="U229" s="58"/>
      <c r="V229" s="58"/>
      <c r="W229" s="58"/>
      <c r="X229" s="58"/>
      <c r="Y229" s="57">
        <f t="shared" si="1076"/>
        <v>-2.4149652364099272E-2</v>
      </c>
      <c r="Z229" s="58">
        <f t="shared" si="1076"/>
        <v>8.1257983186571625E-2</v>
      </c>
      <c r="AA229" s="58">
        <f t="shared" si="1076"/>
        <v>0.61476478196359485</v>
      </c>
      <c r="AB229" s="58">
        <f t="shared" si="1076"/>
        <v>0.435422315054113</v>
      </c>
      <c r="AC229" s="58">
        <f t="shared" si="1076"/>
        <v>0.39618305569726631</v>
      </c>
      <c r="AD229" s="57">
        <f t="shared" si="1076"/>
        <v>0.38417333200403214</v>
      </c>
      <c r="AE229" s="58">
        <f t="shared" si="1076"/>
        <v>0.25173760061777584</v>
      </c>
      <c r="AF229" s="58">
        <f t="shared" si="1076"/>
        <v>5.0348051145083117E-2</v>
      </c>
      <c r="AG229" s="58">
        <f t="shared" si="1076"/>
        <v>1.5176800253081657E-2</v>
      </c>
      <c r="AH229" s="58">
        <f t="shared" si="1076"/>
        <v>1.578125302849176E-2</v>
      </c>
      <c r="AI229" s="57">
        <f t="shared" si="1077"/>
        <v>6.1835103187361184E-2</v>
      </c>
      <c r="AJ229" s="58">
        <f t="shared" si="1077"/>
        <v>3.2661093229457094E-2</v>
      </c>
      <c r="AK229" s="58">
        <f t="shared" si="1077"/>
        <v>-7.0591316156598416E-2</v>
      </c>
      <c r="AL229" s="58">
        <f t="shared" si="1077"/>
        <v>-7.4271774353601661E-2</v>
      </c>
      <c r="AM229" s="58">
        <f t="shared" si="1077"/>
        <v>-4.5049964097654382E-2</v>
      </c>
      <c r="AN229" s="57">
        <f t="shared" si="1077"/>
        <v>-4.396691026346633E-2</v>
      </c>
      <c r="AO229" s="58">
        <f t="shared" si="1077"/>
        <v>-7.4694178276620171E-2</v>
      </c>
      <c r="AP229" s="58">
        <f t="shared" si="1077"/>
        <v>-3.8666299581259778E-2</v>
      </c>
      <c r="AQ229" s="58">
        <f t="shared" si="1077"/>
        <v>-1.3469319180987149E-2</v>
      </c>
      <c r="AR229" s="58">
        <f t="shared" si="1077"/>
        <v>-3.1009811900416961E-2</v>
      </c>
      <c r="AS229" s="57">
        <f t="shared" si="1078"/>
        <v>-3.85586663776053E-2</v>
      </c>
      <c r="AT229" s="58">
        <f t="shared" si="1078"/>
        <v>-4.5778437890328205E-2</v>
      </c>
      <c r="AU229" s="58">
        <f t="shared" si="1078"/>
        <v>-5.3056348819198407E-2</v>
      </c>
      <c r="AV229" s="58">
        <f t="shared" si="1078"/>
        <v>-3.8296342385346738E-2</v>
      </c>
      <c r="AW229" s="58">
        <f t="shared" si="1078"/>
        <v>-1.0985742807543275E-2</v>
      </c>
      <c r="AX229" s="57">
        <f t="shared" si="1078"/>
        <v>-3.6867332092792693E-2</v>
      </c>
      <c r="AY229" s="58">
        <f t="shared" si="1078"/>
        <v>9.9968198822206755E-3</v>
      </c>
      <c r="AZ229" s="58">
        <f t="shared" si="1078"/>
        <v>9.9976477302146094E-3</v>
      </c>
      <c r="BA229" s="58">
        <f t="shared" si="1078"/>
        <v>9.997843986611521E-3</v>
      </c>
      <c r="BB229" s="58">
        <f t="shared" si="1078"/>
        <v>9.9964878314042771E-3</v>
      </c>
      <c r="BC229" s="57">
        <f t="shared" si="1079"/>
        <v>1.0118223137983939E-2</v>
      </c>
      <c r="BD229" s="58">
        <f t="shared" si="1079"/>
        <v>0</v>
      </c>
      <c r="BE229" s="58">
        <f t="shared" si="1079"/>
        <v>0</v>
      </c>
      <c r="BF229" s="58">
        <f t="shared" si="1079"/>
        <v>0</v>
      </c>
      <c r="BG229" s="58">
        <f t="shared" si="1079"/>
        <v>0</v>
      </c>
      <c r="BH229" s="57">
        <f t="shared" si="1079"/>
        <v>0</v>
      </c>
      <c r="BI229" s="57">
        <f t="shared" si="1080"/>
        <v>2.5865485961951151E-6</v>
      </c>
      <c r="BJ229" s="57">
        <f t="shared" ref="BJ229:BL229" si="1086">BJ213/BI213-1</f>
        <v>0</v>
      </c>
      <c r="BK229" s="57">
        <f t="shared" si="1086"/>
        <v>0</v>
      </c>
      <c r="BL229" s="57">
        <f t="shared" si="1086"/>
        <v>0</v>
      </c>
    </row>
    <row r="230" spans="3:67" s="41" customFormat="1" ht="12.75" customHeight="1">
      <c r="C230" s="84" t="s">
        <v>273</v>
      </c>
      <c r="E230" s="56"/>
      <c r="F230" s="109">
        <f t="shared" si="1062"/>
        <v>0</v>
      </c>
      <c r="G230" s="109">
        <f t="shared" si="1063"/>
        <v>0</v>
      </c>
      <c r="H230" s="109">
        <f t="shared" si="1064"/>
        <v>0</v>
      </c>
      <c r="I230" s="109">
        <f t="shared" si="1065"/>
        <v>0</v>
      </c>
      <c r="J230" s="109">
        <f t="shared" si="1066"/>
        <v>0</v>
      </c>
      <c r="K230" s="109">
        <f t="shared" si="1067"/>
        <v>0</v>
      </c>
      <c r="L230" s="109">
        <f t="shared" si="1068"/>
        <v>0</v>
      </c>
      <c r="M230" s="109">
        <f t="shared" si="1069"/>
        <v>0</v>
      </c>
      <c r="N230" s="109">
        <f t="shared" si="1070"/>
        <v>0</v>
      </c>
      <c r="O230" s="109">
        <f t="shared" si="1071"/>
        <v>0</v>
      </c>
      <c r="P230" s="109">
        <f t="shared" si="1072"/>
        <v>0</v>
      </c>
      <c r="Q230" s="109">
        <f t="shared" si="1073"/>
        <v>0</v>
      </c>
      <c r="R230" s="109">
        <f t="shared" si="1074"/>
        <v>0</v>
      </c>
      <c r="S230" s="109">
        <f t="shared" si="1075"/>
        <v>4.114659137918375E-2</v>
      </c>
      <c r="T230" s="109">
        <f t="shared" si="1075"/>
        <v>-1.1759116411388049E-2</v>
      </c>
      <c r="U230" s="110"/>
      <c r="V230" s="110"/>
      <c r="W230" s="110"/>
      <c r="X230" s="110"/>
      <c r="Y230" s="109">
        <f t="shared" si="1076"/>
        <v>-0.28791708990627196</v>
      </c>
      <c r="Z230" s="110">
        <f t="shared" si="1076"/>
        <v>0.23576492192475818</v>
      </c>
      <c r="AA230" s="110">
        <f t="shared" si="1076"/>
        <v>2.4371939597591057</v>
      </c>
      <c r="AB230" s="110">
        <f t="shared" si="1076"/>
        <v>0.84749781801488577</v>
      </c>
      <c r="AC230" s="110">
        <f t="shared" si="1076"/>
        <v>0.32760948580804894</v>
      </c>
      <c r="AD230" s="109">
        <f t="shared" si="1076"/>
        <v>0.78849052404958275</v>
      </c>
      <c r="AE230" s="110">
        <f t="shared" si="1076"/>
        <v>0.10408970795224937</v>
      </c>
      <c r="AF230" s="110">
        <f t="shared" si="1076"/>
        <v>5.1895827706355702E-2</v>
      </c>
      <c r="AG230" s="110">
        <f t="shared" si="1076"/>
        <v>2.0424114118846148E-2</v>
      </c>
      <c r="AH230" s="110">
        <f t="shared" si="1076"/>
        <v>2.3856957396175549E-2</v>
      </c>
      <c r="AI230" s="109">
        <f t="shared" si="1077"/>
        <v>4.1416042439024858E-2</v>
      </c>
      <c r="AJ230" s="110">
        <f t="shared" si="1077"/>
        <v>7.3956410994060251E-2</v>
      </c>
      <c r="AK230" s="110">
        <f t="shared" si="1077"/>
        <v>-4.3827629052707318E-2</v>
      </c>
      <c r="AL230" s="110">
        <f t="shared" si="1077"/>
        <v>-3.7654310226109988E-2</v>
      </c>
      <c r="AM230" s="110">
        <f t="shared" si="1077"/>
        <v>-5.7620534283389424E-2</v>
      </c>
      <c r="AN230" s="109">
        <f t="shared" si="1077"/>
        <v>-2.0783848131391336E-2</v>
      </c>
      <c r="AO230" s="110">
        <f t="shared" si="1077"/>
        <v>-7.8319901185490814E-2</v>
      </c>
      <c r="AP230" s="110">
        <f t="shared" si="1077"/>
        <v>-6.0090607820835418E-2</v>
      </c>
      <c r="AQ230" s="110">
        <f t="shared" si="1077"/>
        <v>-3.3650540012984731E-2</v>
      </c>
      <c r="AR230" s="110">
        <f t="shared" si="1077"/>
        <v>-1.7580263739942481E-2</v>
      </c>
      <c r="AS230" s="109">
        <f t="shared" si="1078"/>
        <v>-4.8108641582072509E-2</v>
      </c>
      <c r="AT230" s="110">
        <f t="shared" si="1078"/>
        <v>-2.6649753003983978E-2</v>
      </c>
      <c r="AU230" s="110">
        <f t="shared" si="1078"/>
        <v>-1.7559118657217487E-2</v>
      </c>
      <c r="AV230" s="110">
        <f t="shared" si="1078"/>
        <v>-8.1193839008871782E-3</v>
      </c>
      <c r="AW230" s="110">
        <f t="shared" si="1078"/>
        <v>-1.6770116820148506E-2</v>
      </c>
      <c r="AX230" s="109">
        <f t="shared" si="1078"/>
        <v>-1.5916632804734765E-2</v>
      </c>
      <c r="AY230" s="110">
        <f t="shared" si="1078"/>
        <v>2.2793698856738098E-2</v>
      </c>
      <c r="AZ230" s="110">
        <f t="shared" si="1078"/>
        <v>2.2179144399097073E-2</v>
      </c>
      <c r="BA230" s="110">
        <f t="shared" si="1078"/>
        <v>2.1997871359441978E-2</v>
      </c>
      <c r="BB230" s="110">
        <f t="shared" si="1078"/>
        <v>2.2923469126762797E-2</v>
      </c>
      <c r="BC230" s="109">
        <f t="shared" si="1079"/>
        <v>2.2618142201261238E-2</v>
      </c>
      <c r="BD230" s="110">
        <f t="shared" si="1079"/>
        <v>0</v>
      </c>
      <c r="BE230" s="110">
        <f t="shared" si="1079"/>
        <v>0</v>
      </c>
      <c r="BF230" s="110">
        <f t="shared" si="1079"/>
        <v>0</v>
      </c>
      <c r="BG230" s="110">
        <f t="shared" si="1079"/>
        <v>0</v>
      </c>
      <c r="BH230" s="109">
        <f t="shared" si="1079"/>
        <v>0</v>
      </c>
      <c r="BI230" s="109">
        <f t="shared" si="1080"/>
        <v>2.4613355759908195E-3</v>
      </c>
      <c r="BJ230" s="109">
        <f t="shared" ref="BJ230:BL230" si="1087">BJ214/BI214-1</f>
        <v>-2.732240437158584E-3</v>
      </c>
      <c r="BK230" s="109">
        <f t="shared" si="1087"/>
        <v>0</v>
      </c>
      <c r="BL230" s="109">
        <f t="shared" si="1087"/>
        <v>0</v>
      </c>
    </row>
    <row r="231" spans="3:67" s="41" customFormat="1" ht="12.75" customHeight="1">
      <c r="C231" s="84" t="s">
        <v>274</v>
      </c>
      <c r="E231" s="56"/>
      <c r="F231" s="109">
        <f t="shared" si="1062"/>
        <v>0</v>
      </c>
      <c r="G231" s="109">
        <f t="shared" si="1063"/>
        <v>0</v>
      </c>
      <c r="H231" s="109">
        <f t="shared" si="1064"/>
        <v>0</v>
      </c>
      <c r="I231" s="109">
        <f t="shared" si="1065"/>
        <v>0</v>
      </c>
      <c r="J231" s="109">
        <f t="shared" si="1066"/>
        <v>0</v>
      </c>
      <c r="K231" s="109">
        <f t="shared" si="1067"/>
        <v>0</v>
      </c>
      <c r="L231" s="109">
        <f t="shared" si="1068"/>
        <v>0</v>
      </c>
      <c r="M231" s="109">
        <f t="shared" si="1069"/>
        <v>0</v>
      </c>
      <c r="N231" s="109">
        <f t="shared" si="1070"/>
        <v>0</v>
      </c>
      <c r="O231" s="109">
        <f t="shared" si="1071"/>
        <v>0</v>
      </c>
      <c r="P231" s="109">
        <f t="shared" si="1072"/>
        <v>0</v>
      </c>
      <c r="Q231" s="109">
        <f t="shared" si="1073"/>
        <v>0</v>
      </c>
      <c r="R231" s="109">
        <f t="shared" si="1074"/>
        <v>0</v>
      </c>
      <c r="S231" s="109">
        <f t="shared" si="1075"/>
        <v>-6.8068305491557068E-2</v>
      </c>
      <c r="T231" s="109">
        <f t="shared" si="1075"/>
        <v>-8.2288391961002794E-2</v>
      </c>
      <c r="U231" s="14"/>
      <c r="V231" s="14"/>
      <c r="W231" s="14"/>
      <c r="X231" s="14"/>
      <c r="Y231" s="109">
        <f t="shared" si="1076"/>
        <v>1.3170850780220178E-2</v>
      </c>
      <c r="Z231" s="110">
        <f t="shared" si="1076"/>
        <v>-0.29386325903524591</v>
      </c>
      <c r="AA231" s="110">
        <f t="shared" si="1076"/>
        <v>-0.68232416577351929</v>
      </c>
      <c r="AB231" s="110">
        <f t="shared" si="1076"/>
        <v>-0.78580866761647261</v>
      </c>
      <c r="AC231" s="110">
        <f t="shared" si="1076"/>
        <v>-0.8144795048353779</v>
      </c>
      <c r="AD231" s="109">
        <f t="shared" si="1076"/>
        <v>-0.65562541239281646</v>
      </c>
      <c r="AE231" s="110">
        <f t="shared" si="1076"/>
        <v>-1.1917629487464296</v>
      </c>
      <c r="AF231" s="110">
        <f t="shared" si="1076"/>
        <v>-0.25664525015011175</v>
      </c>
      <c r="AG231" s="110">
        <f t="shared" si="1076"/>
        <v>3.3273692392622873</v>
      </c>
      <c r="AH231" s="110">
        <f t="shared" si="1076"/>
        <v>3.3858163603598017</v>
      </c>
      <c r="AI231" s="109">
        <f t="shared" si="1077"/>
        <v>0.20626690567397077</v>
      </c>
      <c r="AJ231" s="110">
        <f t="shared" si="1077"/>
        <v>-6.9572443427728334</v>
      </c>
      <c r="AK231" s="110">
        <f t="shared" si="1077"/>
        <v>1.8298793442083774</v>
      </c>
      <c r="AL231" s="110">
        <f t="shared" si="1077"/>
        <v>0.51582242059948613</v>
      </c>
      <c r="AM231" s="110">
        <f t="shared" si="1077"/>
        <v>1.0565355523022864</v>
      </c>
      <c r="AN231" s="109">
        <f t="shared" si="1077"/>
        <v>1.6515414728424243</v>
      </c>
      <c r="AO231" s="110">
        <f t="shared" si="1077"/>
        <v>1.3340482708523811</v>
      </c>
      <c r="AP231" s="110">
        <f t="shared" si="1077"/>
        <v>2.0534882070552651</v>
      </c>
      <c r="AQ231" s="110">
        <f t="shared" si="1077"/>
        <v>0.88802370471445546</v>
      </c>
      <c r="AR231" s="110">
        <f t="shared" si="1077"/>
        <v>-0.16219957560314713</v>
      </c>
      <c r="AS231" s="109">
        <f t="shared" si="1078"/>
        <v>0.74096044848277254</v>
      </c>
      <c r="AT231" s="110">
        <f t="shared" si="1078"/>
        <v>-0.39861818697567153</v>
      </c>
      <c r="AU231" s="110">
        <f t="shared" si="1078"/>
        <v>-0.5785539776491373</v>
      </c>
      <c r="AV231" s="110">
        <f t="shared" si="1078"/>
        <v>-0.48631195461179411</v>
      </c>
      <c r="AW231" s="110">
        <f t="shared" si="1078"/>
        <v>-0.20859643427303987</v>
      </c>
      <c r="AX231" s="109">
        <f t="shared" si="1078"/>
        <v>-0.43761413564000429</v>
      </c>
      <c r="AY231" s="110">
        <f t="shared" si="1078"/>
        <v>-0.17271028037383163</v>
      </c>
      <c r="AZ231" s="110">
        <f t="shared" si="1078"/>
        <v>0</v>
      </c>
      <c r="BA231" s="110">
        <f t="shared" si="1078"/>
        <v>0</v>
      </c>
      <c r="BB231" s="110">
        <f t="shared" si="1078"/>
        <v>-0.12656250000000002</v>
      </c>
      <c r="BC231" s="109">
        <f t="shared" si="1079"/>
        <v>-8.2569068289789715E-2</v>
      </c>
      <c r="BD231" s="110">
        <f t="shared" si="1079"/>
        <v>0</v>
      </c>
      <c r="BE231" s="110">
        <f t="shared" si="1079"/>
        <v>0</v>
      </c>
      <c r="BF231" s="110">
        <f t="shared" si="1079"/>
        <v>0</v>
      </c>
      <c r="BG231" s="110">
        <f t="shared" si="1079"/>
        <v>0</v>
      </c>
      <c r="BH231" s="109">
        <f t="shared" si="1079"/>
        <v>0</v>
      </c>
      <c r="BI231" s="109">
        <f t="shared" si="1080"/>
        <v>0</v>
      </c>
      <c r="BJ231" s="109">
        <f t="shared" ref="BJ231:BL231" si="1088">BJ215/BI215-1</f>
        <v>0</v>
      </c>
      <c r="BK231" s="109">
        <f t="shared" si="1088"/>
        <v>0</v>
      </c>
      <c r="BL231" s="109">
        <f t="shared" si="1088"/>
        <v>0</v>
      </c>
    </row>
    <row r="232" spans="3:67" s="41" customFormat="1" ht="12.75" customHeight="1">
      <c r="C232" s="84" t="s">
        <v>284</v>
      </c>
      <c r="E232" s="56"/>
      <c r="F232" s="109">
        <f t="shared" ref="F232:R232" si="1089">F217/E217-1</f>
        <v>0</v>
      </c>
      <c r="G232" s="109">
        <f t="shared" si="1089"/>
        <v>0</v>
      </c>
      <c r="H232" s="109">
        <f t="shared" si="1089"/>
        <v>0</v>
      </c>
      <c r="I232" s="109">
        <f t="shared" si="1089"/>
        <v>0</v>
      </c>
      <c r="J232" s="109">
        <f t="shared" si="1089"/>
        <v>0</v>
      </c>
      <c r="K232" s="109">
        <f t="shared" si="1089"/>
        <v>0</v>
      </c>
      <c r="L232" s="109">
        <f t="shared" si="1089"/>
        <v>0</v>
      </c>
      <c r="M232" s="109">
        <f t="shared" si="1089"/>
        <v>0</v>
      </c>
      <c r="N232" s="109">
        <f t="shared" si="1089"/>
        <v>0</v>
      </c>
      <c r="O232" s="109">
        <f t="shared" si="1089"/>
        <v>0</v>
      </c>
      <c r="P232" s="109">
        <f t="shared" si="1089"/>
        <v>0</v>
      </c>
      <c r="Q232" s="109">
        <f t="shared" si="1089"/>
        <v>0</v>
      </c>
      <c r="R232" s="109">
        <f t="shared" si="1089"/>
        <v>0</v>
      </c>
      <c r="S232" s="109">
        <f>S217/R217-1</f>
        <v>-6.8068305491557179E-2</v>
      </c>
      <c r="T232" s="109">
        <f>T217/S217-1</f>
        <v>-8.2288391961002905E-2</v>
      </c>
      <c r="U232" s="14"/>
      <c r="V232" s="14"/>
      <c r="W232" s="14"/>
      <c r="X232" s="14"/>
      <c r="Y232" s="109">
        <f t="shared" ref="Y232:AH235" si="1090">Y217/T217-1</f>
        <v>1.0402624411968597E-2</v>
      </c>
      <c r="Z232" s="110">
        <f t="shared" si="1090"/>
        <v>-0.27408997029546878</v>
      </c>
      <c r="AA232" s="110">
        <f t="shared" si="1090"/>
        <v>-0.67955435054687063</v>
      </c>
      <c r="AB232" s="110">
        <f t="shared" si="1090"/>
        <v>-0.77786856616237887</v>
      </c>
      <c r="AC232" s="110">
        <f t="shared" si="1090"/>
        <v>-0.80757314185048745</v>
      </c>
      <c r="AD232" s="109">
        <f t="shared" si="1090"/>
        <v>-0.6457520760929979</v>
      </c>
      <c r="AE232" s="110">
        <f t="shared" si="1090"/>
        <v>-1.1927181985257631</v>
      </c>
      <c r="AF232" s="110">
        <f t="shared" si="1090"/>
        <v>-0.22838989440975777</v>
      </c>
      <c r="AG232" s="110">
        <f t="shared" si="1090"/>
        <v>3.3703441571963886</v>
      </c>
      <c r="AH232" s="110">
        <f t="shared" si="1090"/>
        <v>3.4970640248613556</v>
      </c>
      <c r="AI232" s="109">
        <f t="shared" ref="AI232:AR235" si="1091">AI217/AD217-1</f>
        <v>0.23923198884966301</v>
      </c>
      <c r="AJ232" s="110">
        <f t="shared" si="1091"/>
        <v>-7.086554874533177</v>
      </c>
      <c r="AK232" s="110">
        <f t="shared" si="1091"/>
        <v>1.8504018208058088</v>
      </c>
      <c r="AL232" s="110">
        <f t="shared" si="1091"/>
        <v>0.52599874204582076</v>
      </c>
      <c r="AM232" s="110">
        <f t="shared" si="1091"/>
        <v>1.0325019392452019</v>
      </c>
      <c r="AN232" s="109">
        <f t="shared" si="1091"/>
        <v>1.644388009899854</v>
      </c>
      <c r="AO232" s="110">
        <f t="shared" si="1091"/>
        <v>1.2969938602884299</v>
      </c>
      <c r="AP232" s="110">
        <f t="shared" si="1091"/>
        <v>2.0746255987690914</v>
      </c>
      <c r="AQ232" s="110">
        <f t="shared" si="1091"/>
        <v>0.91171585572986635</v>
      </c>
      <c r="AR232" s="110">
        <f t="shared" si="1091"/>
        <v>-0.14305147116792238</v>
      </c>
      <c r="AS232" s="109">
        <f t="shared" ref="AS232:BB235" si="1092">AS217/AN217-1</f>
        <v>0.75220965474113921</v>
      </c>
      <c r="AT232" s="110">
        <f t="shared" si="1092"/>
        <v>-0.38097510188430572</v>
      </c>
      <c r="AU232" s="110">
        <f t="shared" si="1092"/>
        <v>-0.57297297689359439</v>
      </c>
      <c r="AV232" s="110">
        <f t="shared" si="1092"/>
        <v>-0.4918752083870227</v>
      </c>
      <c r="AW232" s="110">
        <f t="shared" si="1092"/>
        <v>-0.22426077350754736</v>
      </c>
      <c r="AX232" s="109">
        <f t="shared" si="1092"/>
        <v>-0.4364584792411198</v>
      </c>
      <c r="AY232" s="110">
        <f t="shared" si="1092"/>
        <v>-0.17271028037383174</v>
      </c>
      <c r="AZ232" s="110">
        <f t="shared" si="1092"/>
        <v>-1.6867469879517927E-2</v>
      </c>
      <c r="BA232" s="110">
        <f t="shared" si="1092"/>
        <v>-2.1881838074398363E-2</v>
      </c>
      <c r="BB232" s="110">
        <f t="shared" si="1092"/>
        <v>-0.14000000000000012</v>
      </c>
      <c r="BC232" s="109">
        <f t="shared" ref="BC232:BH235" si="1093">BC217/AX217-1</f>
        <v>-9.4519265287457577E-2</v>
      </c>
      <c r="BD232" s="110">
        <f t="shared" si="1093"/>
        <v>0</v>
      </c>
      <c r="BE232" s="110">
        <f t="shared" si="1093"/>
        <v>0</v>
      </c>
      <c r="BF232" s="110">
        <f t="shared" si="1093"/>
        <v>0</v>
      </c>
      <c r="BG232" s="110">
        <f t="shared" si="1093"/>
        <v>0</v>
      </c>
      <c r="BH232" s="109">
        <f t="shared" si="1093"/>
        <v>0</v>
      </c>
      <c r="BI232" s="109">
        <f>BI217/BH217-1</f>
        <v>-2.732240437158584E-3</v>
      </c>
      <c r="BJ232" s="109">
        <f t="shared" ref="BJ232:BL232" si="1094">BJ217/BI217-1</f>
        <v>2.73972602739736E-3</v>
      </c>
      <c r="BK232" s="109">
        <f t="shared" si="1094"/>
        <v>0</v>
      </c>
      <c r="BL232" s="109">
        <f t="shared" si="1094"/>
        <v>0</v>
      </c>
    </row>
    <row r="233" spans="3:67" s="41" customFormat="1" ht="12.75" customHeight="1">
      <c r="C233" s="84" t="s">
        <v>283</v>
      </c>
      <c r="E233" s="56"/>
      <c r="F233" s="109">
        <f t="shared" ref="F233:R235" si="1095">F218/E218-1</f>
        <v>0</v>
      </c>
      <c r="G233" s="109">
        <f t="shared" si="1095"/>
        <v>0</v>
      </c>
      <c r="H233" s="109">
        <f t="shared" si="1095"/>
        <v>0</v>
      </c>
      <c r="I233" s="109">
        <f t="shared" si="1095"/>
        <v>0</v>
      </c>
      <c r="J233" s="109">
        <f t="shared" si="1095"/>
        <v>0</v>
      </c>
      <c r="K233" s="109">
        <f t="shared" si="1095"/>
        <v>0</v>
      </c>
      <c r="L233" s="109">
        <f t="shared" si="1095"/>
        <v>0</v>
      </c>
      <c r="M233" s="109">
        <f t="shared" si="1095"/>
        <v>0</v>
      </c>
      <c r="N233" s="109">
        <f t="shared" si="1095"/>
        <v>0</v>
      </c>
      <c r="O233" s="109">
        <f t="shared" si="1095"/>
        <v>0</v>
      </c>
      <c r="P233" s="109">
        <f t="shared" si="1095"/>
        <v>0</v>
      </c>
      <c r="Q233" s="109">
        <f t="shared" si="1095"/>
        <v>0</v>
      </c>
      <c r="R233" s="109">
        <f t="shared" si="1095"/>
        <v>0</v>
      </c>
      <c r="S233" s="109">
        <f>S218/R218-1</f>
        <v>4.1571549333915936E-2</v>
      </c>
      <c r="T233" s="109">
        <f>T218/S218-1</f>
        <v>-1.6054313150941191E-2</v>
      </c>
      <c r="U233" s="14"/>
      <c r="V233" s="14"/>
      <c r="W233" s="14"/>
      <c r="X233" s="14"/>
      <c r="Y233" s="109">
        <f t="shared" si="1090"/>
        <v>-0.12657085128821544</v>
      </c>
      <c r="Z233" s="110">
        <f t="shared" si="1090"/>
        <v>0.16860819775873748</v>
      </c>
      <c r="AA233" s="110">
        <f t="shared" si="1090"/>
        <v>1.0527686148561326</v>
      </c>
      <c r="AB233" s="110">
        <f t="shared" si="1090"/>
        <v>0.43059698795576562</v>
      </c>
      <c r="AC233" s="110">
        <f t="shared" si="1090"/>
        <v>5.2799119284517859E-2</v>
      </c>
      <c r="AD233" s="109">
        <f t="shared" si="1090"/>
        <v>0.38884862167513257</v>
      </c>
      <c r="AE233" s="110">
        <f t="shared" si="1090"/>
        <v>7.4300464480278938E-2</v>
      </c>
      <c r="AF233" s="110">
        <f t="shared" si="1090"/>
        <v>7.0232357951186986E-2</v>
      </c>
      <c r="AG233" s="110">
        <f t="shared" si="1090"/>
        <v>2.7835380708998603E-2</v>
      </c>
      <c r="AH233" s="110">
        <f t="shared" si="1090"/>
        <v>0.16557706384591198</v>
      </c>
      <c r="AI233" s="109">
        <f t="shared" si="1091"/>
        <v>7.9797536460235907E-2</v>
      </c>
      <c r="AJ233" s="110">
        <f t="shared" si="1091"/>
        <v>9.2913701401807991E-2</v>
      </c>
      <c r="AK233" s="110">
        <f t="shared" si="1091"/>
        <v>3.172621758835259E-2</v>
      </c>
      <c r="AL233" s="110">
        <f t="shared" si="1091"/>
        <v>4.7074029183513666E-2</v>
      </c>
      <c r="AM233" s="110">
        <f t="shared" si="1091"/>
        <v>-3.7228622048890658E-2</v>
      </c>
      <c r="AN233" s="109">
        <f t="shared" si="1091"/>
        <v>3.146920740206105E-2</v>
      </c>
      <c r="AO233" s="110">
        <f t="shared" si="1091"/>
        <v>1.0406353393927592E-2</v>
      </c>
      <c r="AP233" s="110">
        <f t="shared" si="1091"/>
        <v>4.4822901256931225E-2</v>
      </c>
      <c r="AQ233" s="110">
        <f t="shared" si="1091"/>
        <v>2.3910470867984923E-3</v>
      </c>
      <c r="AR233" s="110">
        <f t="shared" si="1091"/>
        <v>7.8109734382653562E-2</v>
      </c>
      <c r="AS233" s="109">
        <f t="shared" si="1092"/>
        <v>3.185098998359237E-2</v>
      </c>
      <c r="AT233" s="110">
        <f t="shared" si="1092"/>
        <v>4.5675279310919858E-2</v>
      </c>
      <c r="AU233" s="110">
        <f t="shared" si="1092"/>
        <v>3.097442882813084E-2</v>
      </c>
      <c r="AV233" s="110">
        <f t="shared" si="1092"/>
        <v>3.048303762178195E-2</v>
      </c>
      <c r="AW233" s="110">
        <f t="shared" si="1092"/>
        <v>-3.3028743872594357E-2</v>
      </c>
      <c r="AX233" s="109">
        <f t="shared" si="1092"/>
        <v>1.8893966231291248E-2</v>
      </c>
      <c r="AY233" s="110">
        <f t="shared" si="1092"/>
        <v>-4.9968525109967743E-2</v>
      </c>
      <c r="AZ233" s="110">
        <f t="shared" si="1092"/>
        <v>-5.0028765430344846E-2</v>
      </c>
      <c r="BA233" s="110">
        <f t="shared" si="1092"/>
        <v>-4.9979097553739416E-2</v>
      </c>
      <c r="BB233" s="110">
        <f t="shared" si="1092"/>
        <v>-5.0088930963753553E-2</v>
      </c>
      <c r="BC233" s="109">
        <f t="shared" si="1093"/>
        <v>-4.9969771655650863E-2</v>
      </c>
      <c r="BD233" s="110">
        <f t="shared" si="1093"/>
        <v>-2.9991498865294952E-2</v>
      </c>
      <c r="BE233" s="110">
        <f t="shared" si="1093"/>
        <v>-3.0007769822383734E-2</v>
      </c>
      <c r="BF233" s="110">
        <f t="shared" si="1093"/>
        <v>-2.9992624219998931E-2</v>
      </c>
      <c r="BG233" s="110">
        <f t="shared" si="1093"/>
        <v>-3.0031384415881712E-2</v>
      </c>
      <c r="BH233" s="109">
        <f t="shared" si="1093"/>
        <v>-3.0005889685043585E-2</v>
      </c>
      <c r="BI233" s="109">
        <f>BI218/BH218-1</f>
        <v>-2.4367702917759471E-2</v>
      </c>
      <c r="BJ233" s="109">
        <f t="shared" ref="BJ233:BL233" si="1096">BJ218/BI218-1</f>
        <v>-2.4230007481188975E-2</v>
      </c>
      <c r="BK233" s="109">
        <f t="shared" si="1096"/>
        <v>-2.408504525981825E-2</v>
      </c>
      <c r="BL233" s="109">
        <f t="shared" si="1096"/>
        <v>-2.3938946668984995E-2</v>
      </c>
    </row>
    <row r="234" spans="3:67" s="41" customFormat="1" ht="12.75" customHeight="1">
      <c r="C234" s="84" t="s">
        <v>285</v>
      </c>
      <c r="E234" s="56"/>
      <c r="F234" s="109">
        <f t="shared" si="1095"/>
        <v>0</v>
      </c>
      <c r="G234" s="109">
        <f t="shared" si="1095"/>
        <v>0</v>
      </c>
      <c r="H234" s="109">
        <f t="shared" si="1095"/>
        <v>0</v>
      </c>
      <c r="I234" s="109">
        <f t="shared" si="1095"/>
        <v>0</v>
      </c>
      <c r="J234" s="109">
        <f t="shared" si="1095"/>
        <v>0</v>
      </c>
      <c r="K234" s="109">
        <f t="shared" si="1095"/>
        <v>0</v>
      </c>
      <c r="L234" s="109">
        <f t="shared" si="1095"/>
        <v>0</v>
      </c>
      <c r="M234" s="109">
        <f t="shared" si="1095"/>
        <v>0</v>
      </c>
      <c r="N234" s="109">
        <f t="shared" si="1095"/>
        <v>0</v>
      </c>
      <c r="O234" s="109">
        <f t="shared" si="1095"/>
        <v>0</v>
      </c>
      <c r="P234" s="109">
        <f t="shared" si="1095"/>
        <v>0</v>
      </c>
      <c r="Q234" s="109">
        <f t="shared" si="1095"/>
        <v>0</v>
      </c>
      <c r="R234" s="109">
        <f t="shared" si="1095"/>
        <v>0</v>
      </c>
      <c r="S234" s="109">
        <f t="shared" ref="S234:S235" si="1097">S219/R219-1</f>
        <v>0.11448553628824287</v>
      </c>
      <c r="T234" s="109">
        <f t="shared" ref="T234:T235" si="1098">T219/S219-1</f>
        <v>-8.4880894761469983E-2</v>
      </c>
      <c r="U234" s="14"/>
      <c r="V234" s="14"/>
      <c r="W234" s="14"/>
      <c r="X234" s="14"/>
      <c r="Y234" s="109">
        <f t="shared" si="1090"/>
        <v>-9.7701119173614015E-2</v>
      </c>
      <c r="Z234" s="110">
        <f t="shared" si="1090"/>
        <v>0.35323968500474301</v>
      </c>
      <c r="AA234" s="110">
        <f t="shared" si="1090"/>
        <v>0.56401418274752935</v>
      </c>
      <c r="AB234" s="110">
        <f t="shared" si="1090"/>
        <v>0.30261254558017137</v>
      </c>
      <c r="AC234" s="110">
        <f t="shared" si="1090"/>
        <v>0.10598000916702088</v>
      </c>
      <c r="AD234" s="109">
        <f t="shared" si="1090"/>
        <v>0.3358773067131593</v>
      </c>
      <c r="AE234" s="110">
        <f t="shared" si="1090"/>
        <v>0.23528709471475007</v>
      </c>
      <c r="AF234" s="110">
        <f t="shared" si="1090"/>
        <v>0.26169594492410608</v>
      </c>
      <c r="AG234" s="110">
        <f t="shared" si="1090"/>
        <v>0.26025951079766707</v>
      </c>
      <c r="AH234" s="110">
        <f t="shared" si="1090"/>
        <v>0.14539582831796793</v>
      </c>
      <c r="AI234" s="109">
        <f t="shared" si="1091"/>
        <v>0.22713999041817301</v>
      </c>
      <c r="AJ234" s="110">
        <f t="shared" si="1091"/>
        <v>-0.11361379338763522</v>
      </c>
      <c r="AK234" s="110">
        <f t="shared" si="1091"/>
        <v>1.8422043056349091E-2</v>
      </c>
      <c r="AL234" s="110">
        <f t="shared" si="1091"/>
        <v>-0.2391921952538214</v>
      </c>
      <c r="AM234" s="110">
        <f t="shared" si="1091"/>
        <v>-1.2339211108469694E-2</v>
      </c>
      <c r="AN234" s="109">
        <f t="shared" si="1091"/>
        <v>-8.8026043183937697E-2</v>
      </c>
      <c r="AO234" s="110">
        <f t="shared" si="1091"/>
        <v>-0.33796069538161522</v>
      </c>
      <c r="AP234" s="110">
        <f t="shared" si="1091"/>
        <v>-0.1666849978988304</v>
      </c>
      <c r="AQ234" s="110">
        <f t="shared" si="1091"/>
        <v>-7.5648830058236971E-2</v>
      </c>
      <c r="AR234" s="110">
        <f t="shared" si="1091"/>
        <v>-3.5292096674022444E-2</v>
      </c>
      <c r="AS234" s="109">
        <f t="shared" si="1092"/>
        <v>-0.15766540817815466</v>
      </c>
      <c r="AT234" s="110">
        <f t="shared" si="1092"/>
        <v>0.51567892758774225</v>
      </c>
      <c r="AU234" s="110">
        <f t="shared" si="1092"/>
        <v>7.8143193545757939E-2</v>
      </c>
      <c r="AV234" s="110">
        <f t="shared" si="1092"/>
        <v>0.32846162652296096</v>
      </c>
      <c r="AW234" s="110">
        <f t="shared" si="1092"/>
        <v>0.11500910871141667</v>
      </c>
      <c r="AX234" s="109">
        <f t="shared" si="1092"/>
        <v>0.23395615731686559</v>
      </c>
      <c r="AY234" s="110">
        <f t="shared" si="1092"/>
        <v>-2.4676974546769648E-2</v>
      </c>
      <c r="AZ234" s="110">
        <f t="shared" si="1092"/>
        <v>-2.5342912340014512E-2</v>
      </c>
      <c r="BA234" s="110">
        <f t="shared" si="1092"/>
        <v>-2.8533886583679058E-2</v>
      </c>
      <c r="BB234" s="110">
        <f t="shared" si="1092"/>
        <v>-2.6853370830403622E-2</v>
      </c>
      <c r="BC234" s="109">
        <f t="shared" si="1093"/>
        <v>-2.6347059905639014E-2</v>
      </c>
      <c r="BD234" s="110">
        <f t="shared" si="1093"/>
        <v>-5.2716170222585346E-3</v>
      </c>
      <c r="BE234" s="110">
        <f t="shared" si="1093"/>
        <v>-4.6152619278954088E-3</v>
      </c>
      <c r="BF234" s="110">
        <f t="shared" si="1093"/>
        <v>-2.7916686557306614E-3</v>
      </c>
      <c r="BG234" s="110">
        <f t="shared" si="1093"/>
        <v>-5.9812401550561889E-3</v>
      </c>
      <c r="BH234" s="109">
        <f t="shared" si="1093"/>
        <v>-4.664359355280201E-3</v>
      </c>
      <c r="BI234" s="109">
        <f>BI219/BH219-1</f>
        <v>-5.2219717778926311E-3</v>
      </c>
      <c r="BJ234" s="109">
        <f t="shared" ref="BJ234:BL234" si="1099">BJ219/BI219-1</f>
        <v>-3.8969549690059946E-3</v>
      </c>
      <c r="BK234" s="109">
        <f t="shared" si="1099"/>
        <v>-4.4564750506478346E-3</v>
      </c>
      <c r="BL234" s="109">
        <f t="shared" si="1099"/>
        <v>-4.3886511010475804E-3</v>
      </c>
    </row>
    <row r="235" spans="3:67" s="41" customFormat="1" ht="12.75" customHeight="1">
      <c r="C235" s="84" t="s">
        <v>286</v>
      </c>
      <c r="E235" s="56"/>
      <c r="F235" s="109">
        <f t="shared" si="1095"/>
        <v>0</v>
      </c>
      <c r="G235" s="109">
        <f t="shared" si="1095"/>
        <v>0</v>
      </c>
      <c r="H235" s="109">
        <f t="shared" si="1095"/>
        <v>0</v>
      </c>
      <c r="I235" s="109">
        <f t="shared" si="1095"/>
        <v>0</v>
      </c>
      <c r="J235" s="109">
        <f t="shared" si="1095"/>
        <v>0</v>
      </c>
      <c r="K235" s="109">
        <f t="shared" si="1095"/>
        <v>0</v>
      </c>
      <c r="L235" s="109">
        <f t="shared" si="1095"/>
        <v>0</v>
      </c>
      <c r="M235" s="109">
        <f t="shared" si="1095"/>
        <v>0</v>
      </c>
      <c r="N235" s="109">
        <f t="shared" si="1095"/>
        <v>0</v>
      </c>
      <c r="O235" s="109">
        <f t="shared" si="1095"/>
        <v>0</v>
      </c>
      <c r="P235" s="109">
        <f t="shared" si="1095"/>
        <v>0</v>
      </c>
      <c r="Q235" s="109">
        <f t="shared" si="1095"/>
        <v>0</v>
      </c>
      <c r="R235" s="109">
        <f t="shared" si="1095"/>
        <v>0</v>
      </c>
      <c r="S235" s="109">
        <f t="shared" si="1097"/>
        <v>0.30522738172005437</v>
      </c>
      <c r="T235" s="109">
        <f t="shared" si="1098"/>
        <v>5.9067724996376469E-2</v>
      </c>
      <c r="U235" s="14"/>
      <c r="V235" s="14"/>
      <c r="W235" s="14"/>
      <c r="X235" s="14"/>
      <c r="Y235" s="109">
        <f t="shared" si="1090"/>
        <v>0.21914145784908401</v>
      </c>
      <c r="Z235" s="110">
        <f t="shared" si="1090"/>
        <v>0.642904976205108</v>
      </c>
      <c r="AA235" s="110">
        <f t="shared" si="1090"/>
        <v>0.13415827628414911</v>
      </c>
      <c r="AB235" s="110">
        <f t="shared" si="1090"/>
        <v>-0.59817714695662505</v>
      </c>
      <c r="AC235" s="110">
        <f t="shared" si="1090"/>
        <v>-0.64071582481459211</v>
      </c>
      <c r="AD235" s="109">
        <f t="shared" si="1090"/>
        <v>-0.19662901794684629</v>
      </c>
      <c r="AE235" s="110">
        <f t="shared" si="1090"/>
        <v>-0.96183953533102962</v>
      </c>
      <c r="AF235" s="110">
        <f t="shared" si="1090"/>
        <v>-0.61226369357132615</v>
      </c>
      <c r="AG235" s="110">
        <f t="shared" si="1090"/>
        <v>-0.4170750869045633</v>
      </c>
      <c r="AH235" s="110">
        <f t="shared" si="1090"/>
        <v>0.948727744106588</v>
      </c>
      <c r="AI235" s="109">
        <f t="shared" si="1091"/>
        <v>-0.5088476745446654</v>
      </c>
      <c r="AJ235" s="110">
        <f t="shared" si="1091"/>
        <v>19.924329592292793</v>
      </c>
      <c r="AK235" s="110">
        <f t="shared" si="1091"/>
        <v>1.6938751959956018</v>
      </c>
      <c r="AL235" s="110">
        <f t="shared" si="1091"/>
        <v>4.3729776067242074</v>
      </c>
      <c r="AM235" s="110">
        <f t="shared" si="1091"/>
        <v>0.61651797925122098</v>
      </c>
      <c r="AN235" s="109">
        <f t="shared" si="1091"/>
        <v>2.1733781733911592</v>
      </c>
      <c r="AO235" s="110">
        <f t="shared" si="1091"/>
        <v>0.14724762380232947</v>
      </c>
      <c r="AP235" s="110">
        <f t="shared" si="1091"/>
        <v>0.10321491346259415</v>
      </c>
      <c r="AQ235" s="110">
        <f t="shared" si="1091"/>
        <v>-9.3822281240095728E-3</v>
      </c>
      <c r="AR235" s="110">
        <f t="shared" si="1091"/>
        <v>9.6132697296846814E-3</v>
      </c>
      <c r="AS235" s="109">
        <f t="shared" si="1092"/>
        <v>5.1804040581775013E-2</v>
      </c>
      <c r="AT235" s="110">
        <f t="shared" si="1092"/>
        <v>0.11323546998575051</v>
      </c>
      <c r="AU235" s="110">
        <f t="shared" si="1092"/>
        <v>8.6437960299179162E-2</v>
      </c>
      <c r="AV235" s="110">
        <f t="shared" si="1092"/>
        <v>6.8365854414123239E-2</v>
      </c>
      <c r="AW235" s="110">
        <f t="shared" si="1092"/>
        <v>8.3385135438961866E-2</v>
      </c>
      <c r="AX235" s="109">
        <f t="shared" si="1092"/>
        <v>8.8236431730952969E-2</v>
      </c>
      <c r="AY235" s="110">
        <f t="shared" si="1092"/>
        <v>0</v>
      </c>
      <c r="AZ235" s="110">
        <f t="shared" si="1092"/>
        <v>0</v>
      </c>
      <c r="BA235" s="110">
        <f t="shared" si="1092"/>
        <v>0</v>
      </c>
      <c r="BB235" s="110">
        <f t="shared" si="1092"/>
        <v>0</v>
      </c>
      <c r="BC235" s="109">
        <f t="shared" si="1093"/>
        <v>1.065255351662131E-4</v>
      </c>
      <c r="BD235" s="110">
        <f t="shared" si="1093"/>
        <v>0.12535714285714272</v>
      </c>
      <c r="BE235" s="110">
        <f t="shared" si="1093"/>
        <v>0.12730263157894761</v>
      </c>
      <c r="BF235" s="110">
        <f t="shared" si="1093"/>
        <v>0.12484472049689432</v>
      </c>
      <c r="BG235" s="110">
        <f t="shared" si="1093"/>
        <v>0.12580645161290316</v>
      </c>
      <c r="BH235" s="109">
        <f t="shared" si="1093"/>
        <v>0.12581977836821978</v>
      </c>
      <c r="BI235" s="109">
        <f>BI220/BH220-1</f>
        <v>0</v>
      </c>
      <c r="BJ235" s="109">
        <f t="shared" ref="BJ235:BL235" si="1100">BJ220/BI220-1</f>
        <v>0</v>
      </c>
      <c r="BK235" s="109">
        <f t="shared" si="1100"/>
        <v>0</v>
      </c>
      <c r="BL235" s="109">
        <f t="shared" si="1100"/>
        <v>0</v>
      </c>
    </row>
    <row r="236" spans="3:67" s="41" customFormat="1" ht="12.75" customHeight="1"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14"/>
      <c r="V236" s="14"/>
      <c r="W236" s="14"/>
      <c r="X236" s="14"/>
      <c r="Y236" s="56"/>
      <c r="Z236" s="14"/>
      <c r="AA236" s="14"/>
      <c r="AB236" s="14"/>
      <c r="AC236" s="14"/>
      <c r="AD236" s="56"/>
      <c r="AE236" s="14"/>
      <c r="AF236" s="14"/>
      <c r="AG236" s="14"/>
      <c r="AH236" s="14"/>
      <c r="AI236" s="56"/>
      <c r="AJ236" s="14"/>
      <c r="AK236" s="14"/>
      <c r="AL236" s="14"/>
      <c r="AM236" s="14"/>
      <c r="AN236" s="56"/>
      <c r="AO236" s="14"/>
      <c r="AP236" s="14"/>
      <c r="AQ236" s="14"/>
      <c r="AR236" s="14"/>
      <c r="AS236" s="56"/>
      <c r="AT236" s="14"/>
      <c r="AU236" s="14"/>
      <c r="AV236" s="14"/>
      <c r="AW236" s="14"/>
      <c r="AX236" s="56"/>
      <c r="AY236" s="14"/>
      <c r="AZ236" s="14"/>
      <c r="BA236" s="14"/>
      <c r="BB236" s="14"/>
      <c r="BC236" s="56"/>
      <c r="BD236" s="14"/>
      <c r="BE236" s="14"/>
      <c r="BF236" s="14"/>
      <c r="BG236" s="14"/>
      <c r="BH236" s="56"/>
      <c r="BI236" s="56"/>
      <c r="BJ236" s="56"/>
      <c r="BK236" s="56"/>
      <c r="BL236" s="56"/>
    </row>
    <row r="237" spans="3:67" s="41" customFormat="1" ht="12.75" customHeight="1">
      <c r="C237" s="84" t="s">
        <v>249</v>
      </c>
      <c r="E237" s="83">
        <f t="shared" ref="E237:Q237" si="1101">E114+E169+E193</f>
        <v>2558</v>
      </c>
      <c r="F237" s="83">
        <f t="shared" si="1101"/>
        <v>2558</v>
      </c>
      <c r="G237" s="83">
        <f t="shared" si="1101"/>
        <v>2558</v>
      </c>
      <c r="H237" s="83">
        <f t="shared" si="1101"/>
        <v>2558</v>
      </c>
      <c r="I237" s="83">
        <f t="shared" si="1101"/>
        <v>2558</v>
      </c>
      <c r="J237" s="83">
        <f t="shared" si="1101"/>
        <v>2558</v>
      </c>
      <c r="K237" s="83">
        <f t="shared" si="1101"/>
        <v>2558</v>
      </c>
      <c r="L237" s="83">
        <f t="shared" si="1101"/>
        <v>2558</v>
      </c>
      <c r="M237" s="83">
        <f t="shared" si="1101"/>
        <v>2558</v>
      </c>
      <c r="N237" s="83">
        <f t="shared" si="1101"/>
        <v>2558</v>
      </c>
      <c r="O237" s="83">
        <f t="shared" si="1101"/>
        <v>2558</v>
      </c>
      <c r="P237" s="83">
        <f t="shared" si="1101"/>
        <v>2558</v>
      </c>
      <c r="Q237" s="83">
        <f t="shared" si="1101"/>
        <v>2558</v>
      </c>
      <c r="R237" s="83">
        <f t="shared" ref="R237:BL237" si="1102">R114+R169+R193</f>
        <v>2558</v>
      </c>
      <c r="S237" s="83">
        <f t="shared" si="1102"/>
        <v>2472</v>
      </c>
      <c r="T237" s="83">
        <f t="shared" si="1102"/>
        <v>2362</v>
      </c>
      <c r="U237" s="82">
        <f t="shared" si="1102"/>
        <v>624</v>
      </c>
      <c r="V237" s="82">
        <f t="shared" si="1102"/>
        <v>553</v>
      </c>
      <c r="W237" s="82">
        <f t="shared" si="1102"/>
        <v>289</v>
      </c>
      <c r="X237" s="82">
        <f t="shared" si="1102"/>
        <v>341</v>
      </c>
      <c r="Y237" s="50">
        <f t="shared" si="1102"/>
        <v>1807</v>
      </c>
      <c r="Z237" s="82">
        <f t="shared" si="1102"/>
        <v>243</v>
      </c>
      <c r="AA237" s="82">
        <f t="shared" si="1102"/>
        <v>116</v>
      </c>
      <c r="AB237" s="82">
        <f t="shared" si="1102"/>
        <v>61</v>
      </c>
      <c r="AC237" s="82">
        <f t="shared" si="1102"/>
        <v>78</v>
      </c>
      <c r="AD237" s="50">
        <f t="shared" si="1102"/>
        <v>498</v>
      </c>
      <c r="AE237" s="82">
        <f t="shared" si="1102"/>
        <v>-59</v>
      </c>
      <c r="AF237" s="82">
        <f t="shared" si="1102"/>
        <v>106</v>
      </c>
      <c r="AG237" s="82">
        <f t="shared" si="1102"/>
        <v>294</v>
      </c>
      <c r="AH237" s="82">
        <f t="shared" si="1102"/>
        <v>360</v>
      </c>
      <c r="AI237" s="50">
        <f t="shared" si="1102"/>
        <v>701</v>
      </c>
      <c r="AJ237" s="82">
        <f t="shared" si="1102"/>
        <v>381</v>
      </c>
      <c r="AK237" s="82">
        <f t="shared" si="1102"/>
        <v>329</v>
      </c>
      <c r="AL237" s="82">
        <f t="shared" si="1102"/>
        <v>501</v>
      </c>
      <c r="AM237" s="82">
        <f t="shared" si="1102"/>
        <v>828</v>
      </c>
      <c r="AN237" s="50">
        <f t="shared" si="1102"/>
        <v>2039</v>
      </c>
      <c r="AO237" s="82">
        <f t="shared" si="1102"/>
        <v>969</v>
      </c>
      <c r="AP237" s="82">
        <f t="shared" si="1102"/>
        <v>1035</v>
      </c>
      <c r="AQ237" s="82">
        <f t="shared" si="1102"/>
        <v>937</v>
      </c>
      <c r="AR237" s="82">
        <f t="shared" si="1102"/>
        <v>670</v>
      </c>
      <c r="AS237" s="50">
        <f t="shared" si="1102"/>
        <v>3611</v>
      </c>
      <c r="AT237" s="82">
        <f t="shared" si="1102"/>
        <v>535</v>
      </c>
      <c r="AU237" s="82">
        <f t="shared" si="1102"/>
        <v>415</v>
      </c>
      <c r="AV237" s="82">
        <f t="shared" si="1102"/>
        <v>457</v>
      </c>
      <c r="AW237" s="82">
        <f t="shared" si="1102"/>
        <v>520</v>
      </c>
      <c r="AX237" s="50">
        <f t="shared" si="1102"/>
        <v>1927</v>
      </c>
      <c r="AY237" s="82">
        <f t="shared" si="1102"/>
        <v>447.02600000000001</v>
      </c>
      <c r="AZ237" s="82">
        <f t="shared" si="1102"/>
        <v>412.08000000000004</v>
      </c>
      <c r="BA237" s="82">
        <f t="shared" si="1102"/>
        <v>455.93999999999994</v>
      </c>
      <c r="BB237" s="82">
        <f t="shared" si="1102"/>
        <v>456.14399999999989</v>
      </c>
      <c r="BC237" s="50">
        <f t="shared" si="1102"/>
        <v>1771.1899999999998</v>
      </c>
      <c r="BD237" s="82">
        <f t="shared" si="1102"/>
        <v>455.96651999999995</v>
      </c>
      <c r="BE237" s="82">
        <f t="shared" si="1102"/>
        <v>420.32160000000005</v>
      </c>
      <c r="BF237" s="82">
        <f t="shared" si="1102"/>
        <v>465.05879999999996</v>
      </c>
      <c r="BG237" s="82">
        <f t="shared" si="1102"/>
        <v>465.2668799999999</v>
      </c>
      <c r="BH237" s="50">
        <f t="shared" si="1102"/>
        <v>1806.6137999999999</v>
      </c>
      <c r="BI237" s="83">
        <f t="shared" si="1102"/>
        <v>1842.7460759999999</v>
      </c>
      <c r="BJ237" s="83">
        <f t="shared" si="1102"/>
        <v>1879.6009975200004</v>
      </c>
      <c r="BK237" s="83">
        <f t="shared" si="1102"/>
        <v>1917.1930174704</v>
      </c>
      <c r="BL237" s="83">
        <f t="shared" si="1102"/>
        <v>1955.5368778198081</v>
      </c>
    </row>
    <row r="238" spans="3:67" s="38" customFormat="1" ht="12.75" customHeight="1">
      <c r="C238" s="99" t="s">
        <v>74</v>
      </c>
      <c r="E238" s="56">
        <f t="shared" ref="E238:Q238" si="1103">E237/E202</f>
        <v>0.29058275587867771</v>
      </c>
      <c r="F238" s="56">
        <f t="shared" si="1103"/>
        <v>0.29058275587867771</v>
      </c>
      <c r="G238" s="56">
        <f t="shared" si="1103"/>
        <v>0.29058275587867771</v>
      </c>
      <c r="H238" s="56">
        <f t="shared" si="1103"/>
        <v>0.29058275587867771</v>
      </c>
      <c r="I238" s="56">
        <f t="shared" si="1103"/>
        <v>0.29058275587867771</v>
      </c>
      <c r="J238" s="56">
        <f t="shared" si="1103"/>
        <v>0.29058275587867771</v>
      </c>
      <c r="K238" s="56">
        <f t="shared" si="1103"/>
        <v>0.29058275587867771</v>
      </c>
      <c r="L238" s="56">
        <f t="shared" si="1103"/>
        <v>0.29058275587867771</v>
      </c>
      <c r="M238" s="56">
        <f t="shared" si="1103"/>
        <v>0.29058275587867771</v>
      </c>
      <c r="N238" s="56">
        <f t="shared" si="1103"/>
        <v>0.29058275587867771</v>
      </c>
      <c r="O238" s="56">
        <f t="shared" si="1103"/>
        <v>0.29058275587867771</v>
      </c>
      <c r="P238" s="56">
        <f t="shared" si="1103"/>
        <v>0.29058275587867771</v>
      </c>
      <c r="Q238" s="56">
        <f t="shared" si="1103"/>
        <v>0.29058275587867771</v>
      </c>
      <c r="R238" s="56">
        <f t="shared" ref="R238:AK238" si="1104">R237/R202</f>
        <v>0.29058275587867771</v>
      </c>
      <c r="S238" s="56">
        <f t="shared" si="1104"/>
        <v>0.26010101010101011</v>
      </c>
      <c r="T238" s="56">
        <f t="shared" si="1104"/>
        <v>0.24153798956948563</v>
      </c>
      <c r="U238" s="14">
        <f t="shared" si="1104"/>
        <v>0.32449297971918878</v>
      </c>
      <c r="V238" s="14">
        <f t="shared" si="1104"/>
        <v>0.66466346153846156</v>
      </c>
      <c r="W238" s="14">
        <f t="shared" si="1104"/>
        <v>0.2279179810725552</v>
      </c>
      <c r="X238" s="14">
        <f t="shared" si="1104"/>
        <v>0.27611336032388661</v>
      </c>
      <c r="Y238" s="56">
        <f t="shared" si="1104"/>
        <v>0.34366679345758844</v>
      </c>
      <c r="Z238" s="14">
        <f t="shared" si="1104"/>
        <v>0.18851823118696664</v>
      </c>
      <c r="AA238" s="14">
        <f t="shared" si="1104"/>
        <v>6.1932728243459689E-2</v>
      </c>
      <c r="AB238" s="14">
        <f t="shared" si="1104"/>
        <v>2.7403414195867025E-2</v>
      </c>
      <c r="AC238" s="14">
        <f t="shared" si="1104"/>
        <v>4.0020523345305287E-2</v>
      </c>
      <c r="AD238" s="56">
        <f t="shared" si="1104"/>
        <v>6.7875153332424693E-2</v>
      </c>
      <c r="AE238" s="14">
        <f t="shared" si="1104"/>
        <v>-3.2596685082872931E-2</v>
      </c>
      <c r="AF238" s="14">
        <f t="shared" si="1104"/>
        <v>4.5221843003412969E-2</v>
      </c>
      <c r="AG238" s="14">
        <f t="shared" si="1104"/>
        <v>0.11778846153846154</v>
      </c>
      <c r="AH238" s="14">
        <f t="shared" si="1104"/>
        <v>0.1769041769041769</v>
      </c>
      <c r="AI238" s="56">
        <f t="shared" si="1104"/>
        <v>8.0713874496257915E-2</v>
      </c>
      <c r="AJ238" s="14">
        <f t="shared" si="1104"/>
        <v>0.18612603810454323</v>
      </c>
      <c r="AK238" s="14">
        <f t="shared" si="1104"/>
        <v>0.13500205170291341</v>
      </c>
      <c r="AL238" s="14">
        <f t="shared" ref="AL238:BL238" si="1105">AL237/AL202</f>
        <v>0.1853496115427303</v>
      </c>
      <c r="AM238" s="14">
        <f t="shared" si="1105"/>
        <v>0.37912087912087911</v>
      </c>
      <c r="AN238" s="56">
        <f t="shared" si="1105"/>
        <v>0.21758617009924233</v>
      </c>
      <c r="AO238" s="14">
        <f t="shared" si="1105"/>
        <v>0.46586538461538463</v>
      </c>
      <c r="AP238" s="14">
        <f t="shared" si="1105"/>
        <v>0.43986400339991499</v>
      </c>
      <c r="AQ238" s="14">
        <f t="shared" si="1105"/>
        <v>0.36374223602484473</v>
      </c>
      <c r="AR238" s="14">
        <f t="shared" si="1105"/>
        <v>0.32843137254901961</v>
      </c>
      <c r="AS238" s="56">
        <f t="shared" si="1105"/>
        <v>0.39904961874240247</v>
      </c>
      <c r="AT238" s="14">
        <f t="shared" si="1105"/>
        <v>0.29509100937672367</v>
      </c>
      <c r="AU238" s="14">
        <f t="shared" si="1105"/>
        <v>0.18993135011441648</v>
      </c>
      <c r="AV238" s="14">
        <f t="shared" si="1105"/>
        <v>0.18442292171105731</v>
      </c>
      <c r="AW238" s="14">
        <f t="shared" si="1105"/>
        <v>0.25641025641025639</v>
      </c>
      <c r="AX238" s="56">
        <f t="shared" si="1105"/>
        <v>0.22659924741298212</v>
      </c>
      <c r="AY238" s="14">
        <f t="shared" si="1105"/>
        <v>0.23908084984651701</v>
      </c>
      <c r="AZ238" s="14">
        <f t="shared" si="1105"/>
        <v>0.1853051324913112</v>
      </c>
      <c r="BA238" s="14">
        <f t="shared" si="1105"/>
        <v>0.18051118521775214</v>
      </c>
      <c r="BB238" s="14">
        <f t="shared" si="1105"/>
        <v>0.21935692697721787</v>
      </c>
      <c r="BC238" s="56">
        <f t="shared" si="1105"/>
        <v>0.20361202227277628</v>
      </c>
      <c r="BD238" s="14">
        <f t="shared" si="1105"/>
        <v>0.23908084984651695</v>
      </c>
      <c r="BE238" s="14">
        <f t="shared" si="1105"/>
        <v>0.1853051324913112</v>
      </c>
      <c r="BF238" s="14">
        <f t="shared" si="1105"/>
        <v>0.18051118521775214</v>
      </c>
      <c r="BG238" s="14">
        <f t="shared" si="1105"/>
        <v>0.21935692697721784</v>
      </c>
      <c r="BH238" s="56">
        <f t="shared" si="1105"/>
        <v>0.20361202227277625</v>
      </c>
      <c r="BI238" s="56">
        <f t="shared" si="1105"/>
        <v>0.20311209524683119</v>
      </c>
      <c r="BJ238" s="56">
        <f t="shared" si="1105"/>
        <v>0.2036685667406582</v>
      </c>
      <c r="BK238" s="56">
        <f t="shared" si="1105"/>
        <v>0.20366856674065811</v>
      </c>
      <c r="BL238" s="56">
        <f t="shared" si="1105"/>
        <v>0.20366856674065809</v>
      </c>
      <c r="BO238" s="139"/>
    </row>
    <row r="239" spans="3:67" s="41" customFormat="1" ht="12.75" customHeight="1">
      <c r="C239" s="84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39"/>
      <c r="V239" s="39"/>
      <c r="W239" s="39"/>
      <c r="X239" s="39"/>
      <c r="Y239" s="50"/>
      <c r="Z239" s="39"/>
      <c r="AA239" s="39"/>
      <c r="AB239" s="39"/>
      <c r="AC239" s="39"/>
      <c r="AD239" s="50"/>
      <c r="AE239" s="39"/>
      <c r="AF239" s="39"/>
      <c r="AG239" s="39"/>
      <c r="AH239" s="39"/>
      <c r="AI239" s="50"/>
      <c r="AJ239" s="39"/>
      <c r="AK239" s="39"/>
      <c r="AL239" s="39"/>
      <c r="AM239" s="39"/>
      <c r="AN239" s="50"/>
      <c r="AO239" s="39"/>
      <c r="AP239" s="39"/>
      <c r="AQ239" s="39"/>
      <c r="AR239" s="39"/>
      <c r="AS239" s="50"/>
      <c r="AT239" s="39"/>
      <c r="AU239" s="39"/>
      <c r="AV239" s="39"/>
      <c r="AW239" s="39"/>
      <c r="AX239" s="50"/>
      <c r="AY239" s="39"/>
      <c r="AZ239" s="39"/>
      <c r="BA239" s="39"/>
      <c r="BB239" s="39"/>
      <c r="BC239" s="50"/>
      <c r="BD239" s="39"/>
      <c r="BE239" s="39"/>
      <c r="BF239" s="39"/>
      <c r="BG239" s="39"/>
      <c r="BH239" s="50"/>
      <c r="BI239" s="48"/>
      <c r="BJ239" s="48"/>
      <c r="BK239" s="48"/>
      <c r="BL239" s="48"/>
    </row>
    <row r="240" spans="3:67" s="41" customFormat="1" ht="12.75" customHeight="1">
      <c r="C240" s="84" t="s">
        <v>250</v>
      </c>
      <c r="E240" s="83">
        <f t="shared" ref="E240:Q240" si="1106">E117+E172+E191</f>
        <v>4958</v>
      </c>
      <c r="F240" s="83">
        <f t="shared" si="1106"/>
        <v>4958</v>
      </c>
      <c r="G240" s="83">
        <f t="shared" si="1106"/>
        <v>4958</v>
      </c>
      <c r="H240" s="83">
        <f t="shared" si="1106"/>
        <v>4958</v>
      </c>
      <c r="I240" s="83">
        <f t="shared" si="1106"/>
        <v>4958</v>
      </c>
      <c r="J240" s="83">
        <f t="shared" si="1106"/>
        <v>4958</v>
      </c>
      <c r="K240" s="83">
        <f t="shared" si="1106"/>
        <v>4958</v>
      </c>
      <c r="L240" s="83">
        <f t="shared" si="1106"/>
        <v>4958</v>
      </c>
      <c r="M240" s="83">
        <f t="shared" si="1106"/>
        <v>4958</v>
      </c>
      <c r="N240" s="83">
        <f t="shared" si="1106"/>
        <v>4958</v>
      </c>
      <c r="O240" s="83">
        <f t="shared" si="1106"/>
        <v>4958</v>
      </c>
      <c r="P240" s="83">
        <f t="shared" si="1106"/>
        <v>4958</v>
      </c>
      <c r="Q240" s="83">
        <f t="shared" si="1106"/>
        <v>4958</v>
      </c>
      <c r="R240" s="83">
        <f t="shared" ref="R240:BL240" si="1107">R117+R172+R191</f>
        <v>4958</v>
      </c>
      <c r="S240" s="83">
        <f t="shared" si="1107"/>
        <v>5355</v>
      </c>
      <c r="T240" s="83">
        <f t="shared" si="1107"/>
        <v>5486</v>
      </c>
      <c r="U240" s="82">
        <f t="shared" si="1107"/>
        <v>1241</v>
      </c>
      <c r="V240" s="82">
        <f t="shared" si="1107"/>
        <v>704</v>
      </c>
      <c r="W240" s="82">
        <f t="shared" si="1107"/>
        <v>832</v>
      </c>
      <c r="X240" s="82">
        <f t="shared" si="1107"/>
        <v>851</v>
      </c>
      <c r="Y240" s="50">
        <f t="shared" si="1107"/>
        <v>3628</v>
      </c>
      <c r="Z240" s="82">
        <f t="shared" si="1107"/>
        <v>778</v>
      </c>
      <c r="AA240" s="82">
        <f t="shared" si="1107"/>
        <v>946</v>
      </c>
      <c r="AB240" s="82">
        <f t="shared" si="1107"/>
        <v>1131</v>
      </c>
      <c r="AC240" s="82">
        <f t="shared" si="1107"/>
        <v>1065</v>
      </c>
      <c r="AD240" s="50">
        <f t="shared" si="1107"/>
        <v>3920</v>
      </c>
      <c r="AE240" s="82">
        <f t="shared" si="1107"/>
        <v>1053</v>
      </c>
      <c r="AF240" s="82">
        <f t="shared" si="1107"/>
        <v>1199</v>
      </c>
      <c r="AG240" s="82">
        <f t="shared" si="1107"/>
        <v>1282</v>
      </c>
      <c r="AH240" s="82">
        <f t="shared" si="1107"/>
        <v>1274</v>
      </c>
      <c r="AI240" s="50">
        <f t="shared" si="1107"/>
        <v>4808</v>
      </c>
      <c r="AJ240" s="82">
        <f t="shared" si="1107"/>
        <v>1221</v>
      </c>
      <c r="AK240" s="82">
        <f t="shared" si="1107"/>
        <v>1347</v>
      </c>
      <c r="AL240" s="82">
        <f t="shared" si="1107"/>
        <v>1499</v>
      </c>
      <c r="AM240" s="82">
        <f t="shared" si="1107"/>
        <v>1388</v>
      </c>
      <c r="AN240" s="50">
        <f t="shared" si="1107"/>
        <v>5455</v>
      </c>
      <c r="AO240" s="82">
        <f t="shared" si="1107"/>
        <v>1366</v>
      </c>
      <c r="AP240" s="82">
        <f t="shared" si="1107"/>
        <v>1440</v>
      </c>
      <c r="AQ240" s="82">
        <f t="shared" si="1107"/>
        <v>1470</v>
      </c>
      <c r="AR240" s="82">
        <f t="shared" si="1107"/>
        <v>1413</v>
      </c>
      <c r="AS240" s="50">
        <f t="shared" si="1107"/>
        <v>5689</v>
      </c>
      <c r="AT240" s="82">
        <f t="shared" si="1107"/>
        <v>1274</v>
      </c>
      <c r="AU240" s="82">
        <f t="shared" si="1107"/>
        <v>1394</v>
      </c>
      <c r="AV240" s="82">
        <f t="shared" si="1107"/>
        <v>1454</v>
      </c>
      <c r="AW240" s="82">
        <f t="shared" si="1107"/>
        <v>1367</v>
      </c>
      <c r="AX240" s="50">
        <f t="shared" si="1107"/>
        <v>5489</v>
      </c>
      <c r="AY240" s="82">
        <f t="shared" si="1107"/>
        <v>1222.4435000000001</v>
      </c>
      <c r="AZ240" s="82">
        <f t="shared" si="1107"/>
        <v>1337.5025000000001</v>
      </c>
      <c r="BA240" s="82">
        <f t="shared" si="1107"/>
        <v>1408.9569999999999</v>
      </c>
      <c r="BB240" s="82">
        <f t="shared" si="1107"/>
        <v>1324.499</v>
      </c>
      <c r="BC240" s="50">
        <f t="shared" si="1107"/>
        <v>5293.402</v>
      </c>
      <c r="BD240" s="82">
        <f t="shared" si="1107"/>
        <v>1209.4961989000001</v>
      </c>
      <c r="BE240" s="82">
        <f t="shared" si="1107"/>
        <v>1323.3143735000001</v>
      </c>
      <c r="BF240" s="82">
        <f t="shared" si="1107"/>
        <v>1394.0326558000002</v>
      </c>
      <c r="BG240" s="82">
        <f t="shared" si="1107"/>
        <v>1310.4169105999999</v>
      </c>
      <c r="BH240" s="50">
        <f t="shared" si="1107"/>
        <v>5237.2601388000003</v>
      </c>
      <c r="BI240" s="83">
        <f t="shared" si="1107"/>
        <v>5226.1119367902065</v>
      </c>
      <c r="BJ240" s="83">
        <f t="shared" si="1107"/>
        <v>5187.2611950665032</v>
      </c>
      <c r="BK240" s="83">
        <f t="shared" si="1107"/>
        <v>5163.5722898970034</v>
      </c>
      <c r="BL240" s="83">
        <f t="shared" si="1107"/>
        <v>5140.7610443922649</v>
      </c>
    </row>
    <row r="241" spans="3:67" s="38" customFormat="1" ht="12.75" customHeight="1">
      <c r="C241" s="99" t="s">
        <v>74</v>
      </c>
      <c r="E241" s="56">
        <f t="shared" ref="E241:Q241" si="1108">E240/E202</f>
        <v>0.5632170850846302</v>
      </c>
      <c r="F241" s="56">
        <f t="shared" si="1108"/>
        <v>0.5632170850846302</v>
      </c>
      <c r="G241" s="56">
        <f t="shared" si="1108"/>
        <v>0.5632170850846302</v>
      </c>
      <c r="H241" s="56">
        <f t="shared" si="1108"/>
        <v>0.5632170850846302</v>
      </c>
      <c r="I241" s="56">
        <f t="shared" si="1108"/>
        <v>0.5632170850846302</v>
      </c>
      <c r="J241" s="56">
        <f t="shared" si="1108"/>
        <v>0.5632170850846302</v>
      </c>
      <c r="K241" s="56">
        <f t="shared" si="1108"/>
        <v>0.5632170850846302</v>
      </c>
      <c r="L241" s="56">
        <f t="shared" si="1108"/>
        <v>0.5632170850846302</v>
      </c>
      <c r="M241" s="56">
        <f t="shared" si="1108"/>
        <v>0.5632170850846302</v>
      </c>
      <c r="N241" s="56">
        <f t="shared" si="1108"/>
        <v>0.5632170850846302</v>
      </c>
      <c r="O241" s="56">
        <f t="shared" si="1108"/>
        <v>0.5632170850846302</v>
      </c>
      <c r="P241" s="56">
        <f t="shared" si="1108"/>
        <v>0.5632170850846302</v>
      </c>
      <c r="Q241" s="56">
        <f t="shared" si="1108"/>
        <v>0.5632170850846302</v>
      </c>
      <c r="R241" s="56">
        <f t="shared" ref="R241:AK241" si="1109">R240/R202</f>
        <v>0.5632170850846302</v>
      </c>
      <c r="S241" s="56">
        <f t="shared" si="1109"/>
        <v>0.56344696969696972</v>
      </c>
      <c r="T241" s="56">
        <f t="shared" si="1109"/>
        <v>0.56099805706104922</v>
      </c>
      <c r="U241" s="14">
        <f t="shared" si="1109"/>
        <v>0.64534581383255329</v>
      </c>
      <c r="V241" s="14">
        <f t="shared" si="1109"/>
        <v>0.84615384615384615</v>
      </c>
      <c r="W241" s="14">
        <f t="shared" si="1109"/>
        <v>0.65615141955835965</v>
      </c>
      <c r="X241" s="14">
        <f t="shared" si="1109"/>
        <v>0.68906882591093122</v>
      </c>
      <c r="Y241" s="56">
        <f t="shared" si="1109"/>
        <v>0.68999619627234687</v>
      </c>
      <c r="Z241" s="14">
        <f t="shared" si="1109"/>
        <v>0.60356865787432112</v>
      </c>
      <c r="AA241" s="14">
        <f t="shared" si="1109"/>
        <v>0.5050720768820075</v>
      </c>
      <c r="AB241" s="14">
        <f t="shared" si="1109"/>
        <v>0.50808625336927227</v>
      </c>
      <c r="AC241" s="14">
        <f t="shared" si="1109"/>
        <v>0.54643406875320677</v>
      </c>
      <c r="AD241" s="56">
        <f t="shared" si="1109"/>
        <v>0.53427831538776072</v>
      </c>
      <c r="AE241" s="14">
        <f t="shared" si="1109"/>
        <v>0.58176795580110496</v>
      </c>
      <c r="AF241" s="14">
        <f t="shared" si="1109"/>
        <v>0.51151877133105805</v>
      </c>
      <c r="AG241" s="14">
        <f t="shared" si="1109"/>
        <v>0.51362179487179482</v>
      </c>
      <c r="AH241" s="14">
        <f t="shared" si="1109"/>
        <v>0.62604422604422605</v>
      </c>
      <c r="AI241" s="56">
        <f t="shared" si="1109"/>
        <v>0.55359815774323551</v>
      </c>
      <c r="AJ241" s="14">
        <f t="shared" si="1109"/>
        <v>0.59648265754763063</v>
      </c>
      <c r="AK241" s="14">
        <f t="shared" si="1109"/>
        <v>0.55272876487484612</v>
      </c>
      <c r="AL241" s="14">
        <f t="shared" ref="AL241:BL241" si="1110">AL240/AL202</f>
        <v>0.55456899741028487</v>
      </c>
      <c r="AM241" s="14">
        <f t="shared" si="1110"/>
        <v>0.63553113553113549</v>
      </c>
      <c r="AN241" s="56">
        <f t="shared" si="1110"/>
        <v>0.58211503574858603</v>
      </c>
      <c r="AO241" s="14">
        <f t="shared" si="1110"/>
        <v>0.65673076923076923</v>
      </c>
      <c r="AP241" s="14">
        <f t="shared" si="1110"/>
        <v>0.61198470038249042</v>
      </c>
      <c r="AQ241" s="14">
        <f t="shared" si="1110"/>
        <v>0.57065217391304346</v>
      </c>
      <c r="AR241" s="14">
        <f t="shared" si="1110"/>
        <v>0.69264705882352939</v>
      </c>
      <c r="AS241" s="56">
        <f t="shared" si="1110"/>
        <v>0.62868825284561825</v>
      </c>
      <c r="AT241" s="14">
        <f t="shared" si="1110"/>
        <v>0.70270270270270274</v>
      </c>
      <c r="AU241" s="14">
        <f t="shared" si="1110"/>
        <v>0.63798627002288333</v>
      </c>
      <c r="AV241" s="14">
        <f t="shared" si="1110"/>
        <v>0.58676351896690881</v>
      </c>
      <c r="AW241" s="14">
        <f t="shared" si="1110"/>
        <v>0.67406311637080862</v>
      </c>
      <c r="AX241" s="56">
        <f t="shared" si="1110"/>
        <v>0.64546095954844784</v>
      </c>
      <c r="AY241" s="14">
        <f t="shared" si="1110"/>
        <v>0.65379380812156507</v>
      </c>
      <c r="AZ241" s="14">
        <f t="shared" si="1110"/>
        <v>0.60145136373995323</v>
      </c>
      <c r="BA241" s="14">
        <f t="shared" si="1110"/>
        <v>0.55782010350232136</v>
      </c>
      <c r="BB241" s="14">
        <f t="shared" si="1110"/>
        <v>0.63694366345802678</v>
      </c>
      <c r="BC241" s="56">
        <f t="shared" si="1110"/>
        <v>0.60851759885882295</v>
      </c>
      <c r="BD241" s="14">
        <f t="shared" si="1110"/>
        <v>0.6341855518671502</v>
      </c>
      <c r="BE241" s="14">
        <f t="shared" si="1110"/>
        <v>0.58340314965748608</v>
      </c>
      <c r="BF241" s="14">
        <f t="shared" si="1110"/>
        <v>0.54108961475561534</v>
      </c>
      <c r="BG241" s="14">
        <f t="shared" si="1110"/>
        <v>0.61781536344945864</v>
      </c>
      <c r="BH241" s="56">
        <f t="shared" si="1110"/>
        <v>0.59025848691605753</v>
      </c>
      <c r="BI241" s="56">
        <f t="shared" si="1110"/>
        <v>0.57603516800321974</v>
      </c>
      <c r="BJ241" s="56">
        <f t="shared" si="1110"/>
        <v>0.56207783157307389</v>
      </c>
      <c r="BK241" s="56">
        <f t="shared" si="1110"/>
        <v>0.54854016156009577</v>
      </c>
      <c r="BL241" s="56">
        <f t="shared" si="1110"/>
        <v>0.53540868788671214</v>
      </c>
      <c r="BO241" s="139"/>
    </row>
    <row r="242" spans="3:67" s="41" customFormat="1" ht="12.75" customHeight="1">
      <c r="C242" s="84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39"/>
      <c r="V242" s="39"/>
      <c r="W242" s="39"/>
      <c r="X242" s="39"/>
      <c r="Y242" s="50"/>
      <c r="Z242" s="39"/>
      <c r="AA242" s="39"/>
      <c r="AB242" s="39"/>
      <c r="AC242" s="39"/>
      <c r="AD242" s="50"/>
      <c r="AE242" s="39"/>
      <c r="AF242" s="39"/>
      <c r="AG242" s="39"/>
      <c r="AH242" s="39"/>
      <c r="AI242" s="50"/>
      <c r="AJ242" s="39"/>
      <c r="AK242" s="39"/>
      <c r="AL242" s="39"/>
      <c r="AM242" s="39"/>
      <c r="AN242" s="50"/>
      <c r="AO242" s="39"/>
      <c r="AP242" s="39"/>
      <c r="AQ242" s="39"/>
      <c r="AR242" s="39"/>
      <c r="AS242" s="50"/>
      <c r="AT242" s="39"/>
      <c r="AU242" s="39"/>
      <c r="AV242" s="39"/>
      <c r="AW242" s="39"/>
      <c r="AX242" s="50"/>
      <c r="AY242" s="39"/>
      <c r="AZ242" s="39"/>
      <c r="BA242" s="39"/>
      <c r="BB242" s="39"/>
      <c r="BC242" s="50"/>
      <c r="BD242" s="39"/>
      <c r="BE242" s="39"/>
      <c r="BF242" s="39"/>
      <c r="BG242" s="39"/>
      <c r="BH242" s="50"/>
      <c r="BI242" s="48"/>
      <c r="BJ242" s="48"/>
      <c r="BK242" s="48"/>
      <c r="BL242" s="48"/>
    </row>
    <row r="243" spans="3:67" s="41" customFormat="1" ht="12.75" customHeight="1">
      <c r="C243" s="84" t="s">
        <v>251</v>
      </c>
      <c r="E243" s="83">
        <f t="shared" ref="E243:Q243" si="1111">E120+E175+E192</f>
        <v>240</v>
      </c>
      <c r="F243" s="83">
        <f t="shared" si="1111"/>
        <v>240</v>
      </c>
      <c r="G243" s="83">
        <f t="shared" si="1111"/>
        <v>240</v>
      </c>
      <c r="H243" s="83">
        <f t="shared" si="1111"/>
        <v>240</v>
      </c>
      <c r="I243" s="83">
        <f t="shared" si="1111"/>
        <v>240</v>
      </c>
      <c r="J243" s="83">
        <f t="shared" si="1111"/>
        <v>240</v>
      </c>
      <c r="K243" s="83">
        <f t="shared" si="1111"/>
        <v>240</v>
      </c>
      <c r="L243" s="83">
        <f t="shared" si="1111"/>
        <v>240</v>
      </c>
      <c r="M243" s="83">
        <f t="shared" si="1111"/>
        <v>240</v>
      </c>
      <c r="N243" s="83">
        <f t="shared" si="1111"/>
        <v>240</v>
      </c>
      <c r="O243" s="83">
        <f t="shared" si="1111"/>
        <v>240</v>
      </c>
      <c r="P243" s="83">
        <f t="shared" si="1111"/>
        <v>240</v>
      </c>
      <c r="Q243" s="83">
        <f t="shared" si="1111"/>
        <v>240</v>
      </c>
      <c r="R243" s="83">
        <f t="shared" ref="R243:BL243" si="1112">R120+R175+R192</f>
        <v>240</v>
      </c>
      <c r="S243" s="83">
        <f t="shared" si="1112"/>
        <v>218</v>
      </c>
      <c r="T243" s="83">
        <f t="shared" si="1112"/>
        <v>203</v>
      </c>
      <c r="U243" s="82">
        <f t="shared" si="1112"/>
        <v>53</v>
      </c>
      <c r="V243" s="82">
        <f t="shared" si="1112"/>
        <v>57</v>
      </c>
      <c r="W243" s="82">
        <f t="shared" si="1112"/>
        <v>58</v>
      </c>
      <c r="X243" s="82">
        <f t="shared" si="1112"/>
        <v>57</v>
      </c>
      <c r="Y243" s="50">
        <f t="shared" si="1112"/>
        <v>225</v>
      </c>
      <c r="Z243" s="82">
        <f t="shared" si="1112"/>
        <v>54</v>
      </c>
      <c r="AA243" s="82">
        <f t="shared" si="1112"/>
        <v>50</v>
      </c>
      <c r="AB243" s="82">
        <f t="shared" si="1112"/>
        <v>49</v>
      </c>
      <c r="AC243" s="82">
        <f t="shared" si="1112"/>
        <v>43</v>
      </c>
      <c r="AD243" s="50">
        <f t="shared" si="1112"/>
        <v>196</v>
      </c>
      <c r="AE243" s="82">
        <f t="shared" si="1112"/>
        <v>33</v>
      </c>
      <c r="AF243" s="82">
        <f t="shared" si="1112"/>
        <v>36</v>
      </c>
      <c r="AG243" s="82">
        <f t="shared" si="1112"/>
        <v>36</v>
      </c>
      <c r="AH243" s="82">
        <f t="shared" si="1112"/>
        <v>37</v>
      </c>
      <c r="AI243" s="50">
        <f t="shared" si="1112"/>
        <v>142</v>
      </c>
      <c r="AJ243" s="82">
        <f t="shared" si="1112"/>
        <v>35</v>
      </c>
      <c r="AK243" s="82">
        <f t="shared" si="1112"/>
        <v>32</v>
      </c>
      <c r="AL243" s="82">
        <f t="shared" si="1112"/>
        <v>33</v>
      </c>
      <c r="AM243" s="82">
        <f t="shared" si="1112"/>
        <v>49</v>
      </c>
      <c r="AN243" s="50">
        <f t="shared" si="1112"/>
        <v>149</v>
      </c>
      <c r="AO243" s="82">
        <f t="shared" si="1112"/>
        <v>32</v>
      </c>
      <c r="AP243" s="82">
        <f t="shared" si="1112"/>
        <v>41</v>
      </c>
      <c r="AQ243" s="82">
        <f t="shared" si="1112"/>
        <v>34</v>
      </c>
      <c r="AR243" s="82">
        <f t="shared" si="1112"/>
        <v>32</v>
      </c>
      <c r="AS243" s="50">
        <f t="shared" si="1112"/>
        <v>139</v>
      </c>
      <c r="AT243" s="82">
        <f t="shared" si="1112"/>
        <v>30</v>
      </c>
      <c r="AU243" s="82">
        <f t="shared" si="1112"/>
        <v>29</v>
      </c>
      <c r="AV243" s="82">
        <f t="shared" si="1112"/>
        <v>29</v>
      </c>
      <c r="AW243" s="82">
        <f t="shared" si="1112"/>
        <v>29</v>
      </c>
      <c r="AX243" s="50">
        <f t="shared" si="1112"/>
        <v>117</v>
      </c>
      <c r="AY243" s="82">
        <f t="shared" si="1112"/>
        <v>30</v>
      </c>
      <c r="AZ243" s="82">
        <f t="shared" si="1112"/>
        <v>29</v>
      </c>
      <c r="BA243" s="82">
        <f t="shared" si="1112"/>
        <v>29</v>
      </c>
      <c r="BB243" s="82">
        <f t="shared" si="1112"/>
        <v>29</v>
      </c>
      <c r="BC243" s="50">
        <f t="shared" si="1112"/>
        <v>117</v>
      </c>
      <c r="BD243" s="82">
        <f t="shared" si="1112"/>
        <v>30</v>
      </c>
      <c r="BE243" s="82">
        <f t="shared" si="1112"/>
        <v>29</v>
      </c>
      <c r="BF243" s="82">
        <f t="shared" si="1112"/>
        <v>29</v>
      </c>
      <c r="BG243" s="82">
        <f t="shared" si="1112"/>
        <v>29</v>
      </c>
      <c r="BH243" s="50">
        <f t="shared" si="1112"/>
        <v>117</v>
      </c>
      <c r="BI243" s="83">
        <f t="shared" si="1112"/>
        <v>117</v>
      </c>
      <c r="BJ243" s="83">
        <f t="shared" si="1112"/>
        <v>117</v>
      </c>
      <c r="BK243" s="83">
        <f t="shared" si="1112"/>
        <v>117</v>
      </c>
      <c r="BL243" s="83">
        <f t="shared" si="1112"/>
        <v>117</v>
      </c>
    </row>
    <row r="244" spans="3:67" s="38" customFormat="1" ht="12.75" customHeight="1">
      <c r="C244" s="99" t="s">
        <v>74</v>
      </c>
      <c r="E244" s="56">
        <f t="shared" ref="E244:Q244" si="1113">E243/E202</f>
        <v>2.726343292059525E-2</v>
      </c>
      <c r="F244" s="56">
        <f t="shared" si="1113"/>
        <v>2.726343292059525E-2</v>
      </c>
      <c r="G244" s="56">
        <f t="shared" si="1113"/>
        <v>2.726343292059525E-2</v>
      </c>
      <c r="H244" s="56">
        <f t="shared" si="1113"/>
        <v>2.726343292059525E-2</v>
      </c>
      <c r="I244" s="56">
        <f t="shared" si="1113"/>
        <v>2.726343292059525E-2</v>
      </c>
      <c r="J244" s="56">
        <f t="shared" si="1113"/>
        <v>2.726343292059525E-2</v>
      </c>
      <c r="K244" s="56">
        <f t="shared" si="1113"/>
        <v>2.726343292059525E-2</v>
      </c>
      <c r="L244" s="56">
        <f t="shared" si="1113"/>
        <v>2.726343292059525E-2</v>
      </c>
      <c r="M244" s="56">
        <f t="shared" si="1113"/>
        <v>2.726343292059525E-2</v>
      </c>
      <c r="N244" s="56">
        <f t="shared" si="1113"/>
        <v>2.726343292059525E-2</v>
      </c>
      <c r="O244" s="56">
        <f t="shared" si="1113"/>
        <v>2.726343292059525E-2</v>
      </c>
      <c r="P244" s="56">
        <f t="shared" si="1113"/>
        <v>2.726343292059525E-2</v>
      </c>
      <c r="Q244" s="56">
        <f t="shared" si="1113"/>
        <v>2.726343292059525E-2</v>
      </c>
      <c r="R244" s="56">
        <f t="shared" ref="R244:AK244" si="1114">R243/R202</f>
        <v>2.726343292059525E-2</v>
      </c>
      <c r="S244" s="56">
        <f t="shared" si="1114"/>
        <v>2.2937710437710437E-2</v>
      </c>
      <c r="T244" s="56">
        <f t="shared" si="1114"/>
        <v>2.0758768790264854E-2</v>
      </c>
      <c r="U244" s="14">
        <f t="shared" si="1114"/>
        <v>2.7561102444097763E-2</v>
      </c>
      <c r="V244" s="14">
        <f t="shared" si="1114"/>
        <v>6.8509615384615391E-2</v>
      </c>
      <c r="W244" s="14">
        <f t="shared" si="1114"/>
        <v>4.5741324921135647E-2</v>
      </c>
      <c r="X244" s="14">
        <f t="shared" si="1114"/>
        <v>4.6153846153846156E-2</v>
      </c>
      <c r="Y244" s="56">
        <f t="shared" si="1114"/>
        <v>4.279193609737543E-2</v>
      </c>
      <c r="Z244" s="14">
        <f t="shared" si="1114"/>
        <v>4.1892940263770363E-2</v>
      </c>
      <c r="AA244" s="14">
        <f t="shared" si="1114"/>
        <v>2.6695141484249868E-2</v>
      </c>
      <c r="AB244" s="14">
        <f t="shared" si="1114"/>
        <v>2.20125786163522E-2</v>
      </c>
      <c r="AC244" s="14">
        <f t="shared" si="1114"/>
        <v>2.2062596203181118E-2</v>
      </c>
      <c r="AD244" s="56">
        <f t="shared" si="1114"/>
        <v>2.6713915769388034E-2</v>
      </c>
      <c r="AE244" s="14">
        <f t="shared" si="1114"/>
        <v>1.8232044198895028E-2</v>
      </c>
      <c r="AF244" s="14">
        <f t="shared" si="1114"/>
        <v>1.5358361774744027E-2</v>
      </c>
      <c r="AG244" s="14">
        <f t="shared" si="1114"/>
        <v>1.4423076923076924E-2</v>
      </c>
      <c r="AH244" s="14">
        <f t="shared" si="1114"/>
        <v>1.8181818181818181E-2</v>
      </c>
      <c r="AI244" s="56">
        <f t="shared" si="1114"/>
        <v>1.6350028785261945E-2</v>
      </c>
      <c r="AJ244" s="14">
        <f t="shared" si="1114"/>
        <v>1.709819247679531E-2</v>
      </c>
      <c r="AK244" s="14">
        <f t="shared" si="1114"/>
        <v>1.3130898645876077E-2</v>
      </c>
      <c r="AL244" s="14">
        <f t="shared" ref="AL244:BL244" si="1115">AL243/AL202</f>
        <v>1.2208657047724751E-2</v>
      </c>
      <c r="AM244" s="14">
        <f t="shared" si="1115"/>
        <v>2.2435897435897436E-2</v>
      </c>
      <c r="AN244" s="56">
        <f t="shared" si="1115"/>
        <v>1.5900117383416925E-2</v>
      </c>
      <c r="AO244" s="14">
        <f t="shared" si="1115"/>
        <v>1.5384615384615385E-2</v>
      </c>
      <c r="AP244" s="14">
        <f t="shared" si="1115"/>
        <v>1.7424564385890354E-2</v>
      </c>
      <c r="AQ244" s="14">
        <f t="shared" si="1115"/>
        <v>1.3198757763975156E-2</v>
      </c>
      <c r="AR244" s="14">
        <f t="shared" si="1115"/>
        <v>1.5686274509803921E-2</v>
      </c>
      <c r="AS244" s="56">
        <f t="shared" si="1115"/>
        <v>1.5360813349541386E-2</v>
      </c>
      <c r="AT244" s="14">
        <f t="shared" si="1115"/>
        <v>1.6547159404302261E-2</v>
      </c>
      <c r="AU244" s="14">
        <f t="shared" si="1115"/>
        <v>1.3272311212814645E-2</v>
      </c>
      <c r="AV244" s="14">
        <f t="shared" si="1115"/>
        <v>1.1702986279257466E-2</v>
      </c>
      <c r="AW244" s="14">
        <f t="shared" si="1115"/>
        <v>1.4299802761341223E-2</v>
      </c>
      <c r="AX244" s="56">
        <f t="shared" si="1115"/>
        <v>1.3758231420507996E-2</v>
      </c>
      <c r="AY244" s="14">
        <f t="shared" si="1115"/>
        <v>1.6044761368232519E-2</v>
      </c>
      <c r="AZ244" s="14">
        <f t="shared" si="1115"/>
        <v>1.3040790240361153E-2</v>
      </c>
      <c r="BA244" s="14">
        <f t="shared" si="1115"/>
        <v>1.1481388716310947E-2</v>
      </c>
      <c r="BB244" s="14">
        <f t="shared" si="1115"/>
        <v>1.3945926905405574E-2</v>
      </c>
      <c r="BC244" s="56">
        <f t="shared" si="1115"/>
        <v>1.3450057083607534E-2</v>
      </c>
      <c r="BD244" s="14">
        <f t="shared" si="1115"/>
        <v>1.5730158204149528E-2</v>
      </c>
      <c r="BE244" s="14">
        <f t="shared" si="1115"/>
        <v>1.2785088470942308E-2</v>
      </c>
      <c r="BF244" s="14">
        <f t="shared" si="1115"/>
        <v>1.1256263447363671E-2</v>
      </c>
      <c r="BG244" s="14">
        <f t="shared" si="1115"/>
        <v>1.3672477358240757E-2</v>
      </c>
      <c r="BH244" s="56">
        <f t="shared" si="1115"/>
        <v>1.318633047412503E-2</v>
      </c>
      <c r="BI244" s="56">
        <f t="shared" si="1115"/>
        <v>1.2896033508568572E-2</v>
      </c>
      <c r="BJ244" s="56">
        <f t="shared" si="1115"/>
        <v>1.2677808928649203E-2</v>
      </c>
      <c r="BK244" s="56">
        <f t="shared" si="1115"/>
        <v>1.2429224439852157E-2</v>
      </c>
      <c r="BL244" s="56">
        <f t="shared" si="1115"/>
        <v>1.2185514156717798E-2</v>
      </c>
      <c r="BO244" s="139"/>
    </row>
    <row r="245" spans="3:67" s="38" customFormat="1" ht="12.75" customHeight="1">
      <c r="C245" s="99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39"/>
      <c r="V245" s="39"/>
      <c r="W245" s="39"/>
      <c r="X245" s="39"/>
      <c r="Y245" s="56"/>
      <c r="Z245" s="39"/>
      <c r="AA245" s="39"/>
      <c r="AB245" s="39"/>
      <c r="AC245" s="39"/>
      <c r="AD245" s="56"/>
      <c r="AE245" s="39"/>
      <c r="AF245" s="39"/>
      <c r="AG245" s="39"/>
      <c r="AH245" s="39"/>
      <c r="AI245" s="56"/>
      <c r="AJ245" s="39"/>
      <c r="AK245" s="39"/>
      <c r="AL245" s="39"/>
      <c r="AM245" s="39"/>
      <c r="AN245" s="56"/>
      <c r="AO245" s="39"/>
      <c r="AP245" s="39"/>
      <c r="AQ245" s="39"/>
      <c r="AR245" s="39"/>
      <c r="AS245" s="56"/>
      <c r="AT245" s="39"/>
      <c r="AU245" s="39"/>
      <c r="AV245" s="39"/>
      <c r="AW245" s="39"/>
      <c r="AX245" s="56"/>
      <c r="AY245" s="39"/>
      <c r="AZ245" s="39"/>
      <c r="BA245" s="39"/>
      <c r="BB245" s="39"/>
      <c r="BC245" s="56"/>
      <c r="BD245" s="39"/>
      <c r="BE245" s="39"/>
      <c r="BF245" s="39"/>
      <c r="BG245" s="39"/>
      <c r="BH245" s="56"/>
      <c r="BI245" s="48"/>
      <c r="BJ245" s="48"/>
      <c r="BK245" s="48"/>
      <c r="BL245" s="48"/>
      <c r="BO245" s="139"/>
    </row>
    <row r="246" spans="3:67" s="41" customFormat="1" ht="12.75" customHeight="1">
      <c r="C246" s="84" t="s">
        <v>252</v>
      </c>
      <c r="E246" s="83">
        <f t="shared" ref="E246:Q246" si="1116">E123+E178+E195</f>
        <v>880</v>
      </c>
      <c r="F246" s="83">
        <f t="shared" si="1116"/>
        <v>880</v>
      </c>
      <c r="G246" s="83">
        <f t="shared" si="1116"/>
        <v>880</v>
      </c>
      <c r="H246" s="83">
        <f t="shared" si="1116"/>
        <v>880</v>
      </c>
      <c r="I246" s="83">
        <f t="shared" si="1116"/>
        <v>880</v>
      </c>
      <c r="J246" s="83">
        <f t="shared" si="1116"/>
        <v>880</v>
      </c>
      <c r="K246" s="83">
        <f t="shared" si="1116"/>
        <v>880</v>
      </c>
      <c r="L246" s="83">
        <f t="shared" si="1116"/>
        <v>880</v>
      </c>
      <c r="M246" s="83">
        <f t="shared" si="1116"/>
        <v>880</v>
      </c>
      <c r="N246" s="83">
        <f t="shared" si="1116"/>
        <v>880</v>
      </c>
      <c r="O246" s="83">
        <f t="shared" si="1116"/>
        <v>880</v>
      </c>
      <c r="P246" s="83">
        <f t="shared" si="1116"/>
        <v>880</v>
      </c>
      <c r="Q246" s="83">
        <f t="shared" si="1116"/>
        <v>880</v>
      </c>
      <c r="R246" s="83">
        <f t="shared" ref="R246:BL246" si="1117">R123+R178+R195</f>
        <v>880</v>
      </c>
      <c r="S246" s="83">
        <f t="shared" si="1117"/>
        <v>1017</v>
      </c>
      <c r="T246" s="83">
        <f t="shared" si="1117"/>
        <v>969</v>
      </c>
      <c r="U246" s="82">
        <f t="shared" si="1117"/>
        <v>208</v>
      </c>
      <c r="V246" s="82">
        <f t="shared" si="1117"/>
        <v>168</v>
      </c>
      <c r="W246" s="82">
        <f t="shared" si="1117"/>
        <v>143</v>
      </c>
      <c r="X246" s="82">
        <f t="shared" si="1117"/>
        <v>143</v>
      </c>
      <c r="Y246" s="50">
        <f t="shared" si="1117"/>
        <v>662</v>
      </c>
      <c r="Z246" s="82">
        <f t="shared" si="1117"/>
        <v>151</v>
      </c>
      <c r="AA246" s="82">
        <f t="shared" si="1117"/>
        <v>172</v>
      </c>
      <c r="AB246" s="82">
        <f t="shared" si="1117"/>
        <v>177</v>
      </c>
      <c r="AC246" s="82">
        <f t="shared" si="1117"/>
        <v>188</v>
      </c>
      <c r="AD246" s="50">
        <f t="shared" si="1117"/>
        <v>688</v>
      </c>
      <c r="AE246" s="82">
        <f t="shared" si="1117"/>
        <v>235</v>
      </c>
      <c r="AF246" s="82">
        <f t="shared" si="1117"/>
        <v>257</v>
      </c>
      <c r="AG246" s="82">
        <f t="shared" si="1117"/>
        <v>246</v>
      </c>
      <c r="AH246" s="82">
        <f t="shared" si="1117"/>
        <v>221</v>
      </c>
      <c r="AI246" s="50">
        <f t="shared" si="1117"/>
        <v>959</v>
      </c>
      <c r="AJ246" s="82">
        <f t="shared" si="1117"/>
        <v>221</v>
      </c>
      <c r="AK246" s="82">
        <f t="shared" si="1117"/>
        <v>285</v>
      </c>
      <c r="AL246" s="82">
        <f t="shared" si="1117"/>
        <v>209</v>
      </c>
      <c r="AM246" s="82">
        <f t="shared" si="1117"/>
        <v>247</v>
      </c>
      <c r="AN246" s="50">
        <f t="shared" si="1117"/>
        <v>962</v>
      </c>
      <c r="AO246" s="82">
        <f t="shared" si="1117"/>
        <v>162</v>
      </c>
      <c r="AP246" s="82">
        <f t="shared" si="1117"/>
        <v>243</v>
      </c>
      <c r="AQ246" s="82">
        <f t="shared" si="1117"/>
        <v>189</v>
      </c>
      <c r="AR246" s="82">
        <f t="shared" si="1117"/>
        <v>225</v>
      </c>
      <c r="AS246" s="50">
        <f t="shared" si="1117"/>
        <v>819</v>
      </c>
      <c r="AT246" s="82">
        <f t="shared" si="1117"/>
        <v>219</v>
      </c>
      <c r="AU246" s="82">
        <f t="shared" si="1117"/>
        <v>246</v>
      </c>
      <c r="AV246" s="82">
        <f t="shared" si="1117"/>
        <v>241</v>
      </c>
      <c r="AW246" s="82">
        <f t="shared" si="1117"/>
        <v>251</v>
      </c>
      <c r="AX246" s="50">
        <f t="shared" si="1117"/>
        <v>957</v>
      </c>
      <c r="AY246" s="82">
        <f t="shared" si="1117"/>
        <v>215.73170000000002</v>
      </c>
      <c r="AZ246" s="82">
        <f t="shared" si="1117"/>
        <v>242.16329999999999</v>
      </c>
      <c r="BA246" s="82">
        <f t="shared" si="1117"/>
        <v>238.80579999999998</v>
      </c>
      <c r="BB246" s="82">
        <f t="shared" si="1117"/>
        <v>249.14499999999998</v>
      </c>
      <c r="BC246" s="50">
        <f t="shared" si="1117"/>
        <v>945.84579999999994</v>
      </c>
      <c r="BD246" s="82">
        <f t="shared" si="1117"/>
        <v>218.88633400000003</v>
      </c>
      <c r="BE246" s="82">
        <f t="shared" si="1117"/>
        <v>245.86656599999998</v>
      </c>
      <c r="BF246" s="82">
        <f t="shared" si="1117"/>
        <v>242.90191599999997</v>
      </c>
      <c r="BG246" s="82">
        <f t="shared" si="1117"/>
        <v>252.60789999999997</v>
      </c>
      <c r="BH246" s="50">
        <f t="shared" si="1117"/>
        <v>960.26271599999995</v>
      </c>
      <c r="BI246" s="83">
        <f t="shared" si="1117"/>
        <v>977.02267708799991</v>
      </c>
      <c r="BJ246" s="83">
        <f t="shared" si="1117"/>
        <v>989.96732972640007</v>
      </c>
      <c r="BK246" s="83">
        <f t="shared" si="1117"/>
        <v>1005.2666763209281</v>
      </c>
      <c r="BL246" s="83">
        <f t="shared" si="1117"/>
        <v>1020.8720098473466</v>
      </c>
    </row>
    <row r="247" spans="3:67" s="38" customFormat="1" ht="12.75" customHeight="1">
      <c r="C247" s="99" t="s">
        <v>74</v>
      </c>
      <c r="E247" s="56">
        <f t="shared" ref="E247:Q247" si="1118">E246/E202</f>
        <v>9.9965920708849257E-2</v>
      </c>
      <c r="F247" s="56">
        <f t="shared" si="1118"/>
        <v>9.9965920708849257E-2</v>
      </c>
      <c r="G247" s="56">
        <f t="shared" si="1118"/>
        <v>9.9965920708849257E-2</v>
      </c>
      <c r="H247" s="56">
        <f t="shared" si="1118"/>
        <v>9.9965920708849257E-2</v>
      </c>
      <c r="I247" s="56">
        <f t="shared" si="1118"/>
        <v>9.9965920708849257E-2</v>
      </c>
      <c r="J247" s="56">
        <f t="shared" si="1118"/>
        <v>9.9965920708849257E-2</v>
      </c>
      <c r="K247" s="56">
        <f t="shared" si="1118"/>
        <v>9.9965920708849257E-2</v>
      </c>
      <c r="L247" s="56">
        <f t="shared" si="1118"/>
        <v>9.9965920708849257E-2</v>
      </c>
      <c r="M247" s="56">
        <f t="shared" si="1118"/>
        <v>9.9965920708849257E-2</v>
      </c>
      <c r="N247" s="56">
        <f t="shared" si="1118"/>
        <v>9.9965920708849257E-2</v>
      </c>
      <c r="O247" s="56">
        <f t="shared" si="1118"/>
        <v>9.9965920708849257E-2</v>
      </c>
      <c r="P247" s="56">
        <f t="shared" si="1118"/>
        <v>9.9965920708849257E-2</v>
      </c>
      <c r="Q247" s="56">
        <f t="shared" si="1118"/>
        <v>9.9965920708849257E-2</v>
      </c>
      <c r="R247" s="56">
        <f t="shared" ref="R247:AK247" si="1119">R246/R202</f>
        <v>9.9965920708849257E-2</v>
      </c>
      <c r="S247" s="56">
        <f t="shared" si="1119"/>
        <v>0.10700757575757576</v>
      </c>
      <c r="T247" s="56">
        <f t="shared" si="1119"/>
        <v>9.908988649146129E-2</v>
      </c>
      <c r="U247" s="14">
        <f t="shared" si="1119"/>
        <v>0.10816432657306292</v>
      </c>
      <c r="V247" s="14">
        <f t="shared" si="1119"/>
        <v>0.20192307692307693</v>
      </c>
      <c r="W247" s="14">
        <f t="shared" si="1119"/>
        <v>0.11277602523659307</v>
      </c>
      <c r="X247" s="14">
        <f t="shared" si="1119"/>
        <v>0.11578947368421053</v>
      </c>
      <c r="Y247" s="56">
        <f t="shared" si="1119"/>
        <v>0.12590338531761125</v>
      </c>
      <c r="Z247" s="14">
        <f t="shared" si="1119"/>
        <v>0.11714507370054306</v>
      </c>
      <c r="AA247" s="14">
        <f t="shared" si="1119"/>
        <v>9.183128670581954E-2</v>
      </c>
      <c r="AB247" s="14">
        <f t="shared" si="1119"/>
        <v>7.9514824797843664E-2</v>
      </c>
      <c r="AC247" s="14">
        <f t="shared" si="1119"/>
        <v>9.6459722934838385E-2</v>
      </c>
      <c r="AD247" s="56">
        <f t="shared" si="1119"/>
        <v>9.3771296170096774E-2</v>
      </c>
      <c r="AE247" s="14">
        <f t="shared" si="1119"/>
        <v>0.12983425414364641</v>
      </c>
      <c r="AF247" s="14">
        <f t="shared" si="1119"/>
        <v>0.10964163822525597</v>
      </c>
      <c r="AG247" s="14">
        <f t="shared" si="1119"/>
        <v>9.8557692307692304E-2</v>
      </c>
      <c r="AH247" s="14">
        <f t="shared" si="1119"/>
        <v>0.10859950859950859</v>
      </c>
      <c r="AI247" s="56">
        <f t="shared" si="1119"/>
        <v>0.11042026482440991</v>
      </c>
      <c r="AJ247" s="14">
        <f t="shared" si="1119"/>
        <v>0.1079628724963361</v>
      </c>
      <c r="AK247" s="14">
        <f t="shared" si="1119"/>
        <v>0.11694706606483381</v>
      </c>
      <c r="AL247" s="14">
        <f t="shared" ref="AL247:BL247" si="1120">AL246/AL202</f>
        <v>7.7321494635590085E-2</v>
      </c>
      <c r="AM247" s="14">
        <f t="shared" si="1120"/>
        <v>0.1130952380952381</v>
      </c>
      <c r="AN247" s="56">
        <f t="shared" si="1120"/>
        <v>0.1026571337103831</v>
      </c>
      <c r="AO247" s="14">
        <f t="shared" si="1120"/>
        <v>7.7884615384615385E-2</v>
      </c>
      <c r="AP247" s="14">
        <f t="shared" si="1120"/>
        <v>0.10327241818954526</v>
      </c>
      <c r="AQ247" s="14">
        <f t="shared" si="1120"/>
        <v>7.3369565217391311E-2</v>
      </c>
      <c r="AR247" s="14">
        <f t="shared" si="1120"/>
        <v>0.11029411764705882</v>
      </c>
      <c r="AS247" s="56">
        <f t="shared" si="1120"/>
        <v>9.0507238368880541E-2</v>
      </c>
      <c r="AT247" s="14">
        <f t="shared" si="1120"/>
        <v>0.12079426365140651</v>
      </c>
      <c r="AU247" s="14">
        <f t="shared" si="1120"/>
        <v>0.11258581235697941</v>
      </c>
      <c r="AV247" s="14">
        <f t="shared" si="1120"/>
        <v>9.7255851493139631E-2</v>
      </c>
      <c r="AW247" s="14">
        <f t="shared" si="1120"/>
        <v>0.12376725838264299</v>
      </c>
      <c r="AX247" s="56">
        <f t="shared" si="1120"/>
        <v>0.11253527751646285</v>
      </c>
      <c r="AY247" s="14">
        <f t="shared" si="1120"/>
        <v>0.11537878820210426</v>
      </c>
      <c r="AZ247" s="14">
        <f t="shared" si="1120"/>
        <v>0.10889657928322931</v>
      </c>
      <c r="BA247" s="14">
        <f t="shared" si="1120"/>
        <v>9.4545593707227871E-2</v>
      </c>
      <c r="BB247" s="14">
        <f t="shared" si="1120"/>
        <v>0.1198123434085266</v>
      </c>
      <c r="BC247" s="56">
        <f t="shared" si="1120"/>
        <v>0.10873230771188405</v>
      </c>
      <c r="BD247" s="14">
        <f t="shared" si="1120"/>
        <v>0.11477055541821046</v>
      </c>
      <c r="BE247" s="14">
        <f t="shared" si="1120"/>
        <v>0.10839399304678538</v>
      </c>
      <c r="BF247" s="14">
        <f t="shared" si="1120"/>
        <v>9.4281653736737955E-2</v>
      </c>
      <c r="BG247" s="14">
        <f t="shared" si="1120"/>
        <v>0.11909571700906017</v>
      </c>
      <c r="BH247" s="56">
        <f t="shared" si="1120"/>
        <v>0.10822514115518692</v>
      </c>
      <c r="BI247" s="56">
        <f t="shared" si="1120"/>
        <v>0.10768989044750614</v>
      </c>
      <c r="BJ247" s="56">
        <f t="shared" si="1120"/>
        <v>0.10727022779381508</v>
      </c>
      <c r="BK247" s="56">
        <f t="shared" si="1120"/>
        <v>0.10679218069997459</v>
      </c>
      <c r="BL247" s="56">
        <f t="shared" si="1120"/>
        <v>0.10632350707856235</v>
      </c>
      <c r="BO247" s="139"/>
    </row>
    <row r="248" spans="3:67" s="38" customFormat="1" ht="12.75" customHeight="1">
      <c r="C248" s="99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14"/>
      <c r="V248" s="14"/>
      <c r="W248" s="14"/>
      <c r="X248" s="14"/>
      <c r="Y248" s="56"/>
      <c r="Z248" s="14"/>
      <c r="AA248" s="14"/>
      <c r="AB248" s="14"/>
      <c r="AC248" s="14"/>
      <c r="AD248" s="56"/>
      <c r="AE248" s="14"/>
      <c r="AF248" s="14"/>
      <c r="AG248" s="14"/>
      <c r="AH248" s="14"/>
      <c r="AI248" s="56"/>
      <c r="AJ248" s="14"/>
      <c r="AK248" s="14"/>
      <c r="AL248" s="14"/>
      <c r="AM248" s="14"/>
      <c r="AN248" s="56"/>
      <c r="AO248" s="14"/>
      <c r="AP248" s="14"/>
      <c r="AQ248" s="14"/>
      <c r="AR248" s="14"/>
      <c r="AS248" s="56"/>
      <c r="AT248" s="14"/>
      <c r="AU248" s="14"/>
      <c r="AV248" s="14"/>
      <c r="AW248" s="14"/>
      <c r="AX248" s="56"/>
      <c r="AY248" s="14"/>
      <c r="AZ248" s="14"/>
      <c r="BA248" s="14"/>
      <c r="BB248" s="14"/>
      <c r="BC248" s="56"/>
      <c r="BD248" s="14"/>
      <c r="BE248" s="14"/>
      <c r="BF248" s="14"/>
      <c r="BG248" s="14"/>
      <c r="BH248" s="56"/>
      <c r="BI248" s="56"/>
      <c r="BJ248" s="56"/>
      <c r="BK248" s="56"/>
      <c r="BL248" s="56"/>
      <c r="BO248" s="139"/>
    </row>
    <row r="249" spans="3:67" s="41" customFormat="1" ht="12.75" customHeight="1">
      <c r="C249" s="84" t="s">
        <v>253</v>
      </c>
      <c r="E249" s="83">
        <f t="shared" ref="E249:Q249" si="1121">E126+E181+E198</f>
        <v>331</v>
      </c>
      <c r="F249" s="83">
        <f t="shared" si="1121"/>
        <v>331</v>
      </c>
      <c r="G249" s="83">
        <f t="shared" si="1121"/>
        <v>331</v>
      </c>
      <c r="H249" s="83">
        <f t="shared" si="1121"/>
        <v>331</v>
      </c>
      <c r="I249" s="83">
        <f t="shared" si="1121"/>
        <v>331</v>
      </c>
      <c r="J249" s="83">
        <f t="shared" si="1121"/>
        <v>331</v>
      </c>
      <c r="K249" s="83">
        <f t="shared" si="1121"/>
        <v>331</v>
      </c>
      <c r="L249" s="83">
        <f t="shared" si="1121"/>
        <v>331</v>
      </c>
      <c r="M249" s="83">
        <f t="shared" si="1121"/>
        <v>331</v>
      </c>
      <c r="N249" s="83">
        <f t="shared" si="1121"/>
        <v>331</v>
      </c>
      <c r="O249" s="83">
        <f t="shared" si="1121"/>
        <v>331</v>
      </c>
      <c r="P249" s="83">
        <f t="shared" si="1121"/>
        <v>331</v>
      </c>
      <c r="Q249" s="83">
        <f t="shared" si="1121"/>
        <v>331</v>
      </c>
      <c r="R249" s="83">
        <f t="shared" ref="R249:BL249" si="1122">R126+R181+R198</f>
        <v>331</v>
      </c>
      <c r="S249" s="83">
        <f t="shared" si="1122"/>
        <v>448</v>
      </c>
      <c r="T249" s="83">
        <f t="shared" si="1122"/>
        <v>494</v>
      </c>
      <c r="U249" s="82">
        <f t="shared" si="1122"/>
        <v>118</v>
      </c>
      <c r="V249" s="82">
        <f t="shared" si="1122"/>
        <v>132</v>
      </c>
      <c r="W249" s="82">
        <f t="shared" si="1122"/>
        <v>110</v>
      </c>
      <c r="X249" s="82">
        <f t="shared" si="1122"/>
        <v>96</v>
      </c>
      <c r="Y249" s="50">
        <f t="shared" si="1122"/>
        <v>456</v>
      </c>
      <c r="Z249" s="82">
        <f t="shared" si="1122"/>
        <v>104</v>
      </c>
      <c r="AA249" s="82">
        <f t="shared" si="1122"/>
        <v>98</v>
      </c>
      <c r="AB249" s="82">
        <f t="shared" si="1122"/>
        <v>42</v>
      </c>
      <c r="AC249" s="82">
        <f t="shared" si="1122"/>
        <v>41</v>
      </c>
      <c r="AD249" s="50">
        <f t="shared" si="1122"/>
        <v>285</v>
      </c>
      <c r="AE249" s="82">
        <f t="shared" si="1122"/>
        <v>5</v>
      </c>
      <c r="AF249" s="82">
        <f t="shared" si="1122"/>
        <v>45</v>
      </c>
      <c r="AG249" s="82">
        <f t="shared" si="1122"/>
        <v>27</v>
      </c>
      <c r="AH249" s="82">
        <f t="shared" si="1122"/>
        <v>82</v>
      </c>
      <c r="AI249" s="50">
        <f t="shared" si="1122"/>
        <v>159</v>
      </c>
      <c r="AJ249" s="82">
        <f t="shared" si="1122"/>
        <v>111</v>
      </c>
      <c r="AK249" s="82">
        <f t="shared" si="1122"/>
        <v>132</v>
      </c>
      <c r="AL249" s="82">
        <f t="shared" si="1122"/>
        <v>162</v>
      </c>
      <c r="AM249" s="82">
        <f t="shared" si="1122"/>
        <v>150</v>
      </c>
      <c r="AN249" s="50">
        <f t="shared" si="1122"/>
        <v>555</v>
      </c>
      <c r="AO249" s="82">
        <f t="shared" si="1122"/>
        <v>141</v>
      </c>
      <c r="AP249" s="82">
        <f t="shared" si="1122"/>
        <v>149</v>
      </c>
      <c r="AQ249" s="82">
        <f t="shared" si="1122"/>
        <v>157</v>
      </c>
      <c r="AR249" s="82">
        <f t="shared" si="1122"/>
        <v>143</v>
      </c>
      <c r="AS249" s="50">
        <f t="shared" si="1122"/>
        <v>590</v>
      </c>
      <c r="AT249" s="82">
        <f t="shared" si="1122"/>
        <v>140</v>
      </c>
      <c r="AU249" s="82">
        <f t="shared" si="1122"/>
        <v>152</v>
      </c>
      <c r="AV249" s="82">
        <f t="shared" si="1122"/>
        <v>161</v>
      </c>
      <c r="AW249" s="82">
        <f t="shared" si="1122"/>
        <v>155</v>
      </c>
      <c r="AX249" s="50">
        <f t="shared" si="1122"/>
        <v>608</v>
      </c>
      <c r="AY249" s="82">
        <f t="shared" si="1122"/>
        <v>141.4</v>
      </c>
      <c r="AZ249" s="82">
        <f t="shared" si="1122"/>
        <v>153.51999999999998</v>
      </c>
      <c r="BA249" s="82">
        <f t="shared" si="1122"/>
        <v>164.21999999999997</v>
      </c>
      <c r="BB249" s="82">
        <f t="shared" si="1122"/>
        <v>158.1</v>
      </c>
      <c r="BC249" s="50">
        <f t="shared" si="1122"/>
        <v>617.24</v>
      </c>
      <c r="BD249" s="82">
        <f t="shared" si="1122"/>
        <v>162.30800999999997</v>
      </c>
      <c r="BE249" s="82">
        <f t="shared" si="1122"/>
        <v>176.52476999999999</v>
      </c>
      <c r="BF249" s="82">
        <f t="shared" si="1122"/>
        <v>188.41643999999997</v>
      </c>
      <c r="BG249" s="82">
        <f t="shared" si="1122"/>
        <v>181.54979999999995</v>
      </c>
      <c r="BH249" s="50">
        <f t="shared" si="1122"/>
        <v>708.79901999999993</v>
      </c>
      <c r="BI249" s="83">
        <f t="shared" si="1122"/>
        <v>724.95575382575316</v>
      </c>
      <c r="BJ249" s="83">
        <f t="shared" si="1122"/>
        <v>737.43450040799985</v>
      </c>
      <c r="BK249" s="83">
        <f t="shared" si="1122"/>
        <v>752.18319041615973</v>
      </c>
      <c r="BL249" s="83">
        <f t="shared" si="1122"/>
        <v>767.22685422448308</v>
      </c>
    </row>
    <row r="250" spans="3:67" s="38" customFormat="1" ht="12.75" customHeight="1">
      <c r="C250" s="99" t="s">
        <v>74</v>
      </c>
      <c r="E250" s="56">
        <f t="shared" ref="E250:Q250" si="1123">E249/E202</f>
        <v>3.7600817902987617E-2</v>
      </c>
      <c r="F250" s="56">
        <f t="shared" si="1123"/>
        <v>3.7600817902987617E-2</v>
      </c>
      <c r="G250" s="56">
        <f t="shared" si="1123"/>
        <v>3.7600817902987617E-2</v>
      </c>
      <c r="H250" s="56">
        <f t="shared" si="1123"/>
        <v>3.7600817902987617E-2</v>
      </c>
      <c r="I250" s="56">
        <f t="shared" si="1123"/>
        <v>3.7600817902987617E-2</v>
      </c>
      <c r="J250" s="56">
        <f t="shared" si="1123"/>
        <v>3.7600817902987617E-2</v>
      </c>
      <c r="K250" s="56">
        <f t="shared" si="1123"/>
        <v>3.7600817902987617E-2</v>
      </c>
      <c r="L250" s="56">
        <f t="shared" si="1123"/>
        <v>3.7600817902987617E-2</v>
      </c>
      <c r="M250" s="56">
        <f t="shared" si="1123"/>
        <v>3.7600817902987617E-2</v>
      </c>
      <c r="N250" s="56">
        <f t="shared" si="1123"/>
        <v>3.7600817902987617E-2</v>
      </c>
      <c r="O250" s="56">
        <f t="shared" si="1123"/>
        <v>3.7600817902987617E-2</v>
      </c>
      <c r="P250" s="56">
        <f t="shared" si="1123"/>
        <v>3.7600817902987617E-2</v>
      </c>
      <c r="Q250" s="56">
        <f t="shared" si="1123"/>
        <v>3.7600817902987617E-2</v>
      </c>
      <c r="R250" s="56">
        <f t="shared" ref="R250:AK250" si="1124">R249/R202</f>
        <v>3.7600817902987617E-2</v>
      </c>
      <c r="S250" s="56">
        <f t="shared" si="1124"/>
        <v>4.7138047138047139E-2</v>
      </c>
      <c r="T250" s="56">
        <f t="shared" si="1124"/>
        <v>5.0516412721137133E-2</v>
      </c>
      <c r="U250" s="14">
        <f t="shared" si="1124"/>
        <v>6.1362454498179925E-2</v>
      </c>
      <c r="V250" s="14">
        <f t="shared" si="1124"/>
        <v>0.15865384615384615</v>
      </c>
      <c r="W250" s="14">
        <f t="shared" si="1124"/>
        <v>8.6750788643533125E-2</v>
      </c>
      <c r="X250" s="14">
        <f t="shared" si="1124"/>
        <v>7.773279352226721E-2</v>
      </c>
      <c r="Y250" s="56">
        <f t="shared" si="1124"/>
        <v>8.6724990490680873E-2</v>
      </c>
      <c r="Z250" s="14">
        <f t="shared" si="1124"/>
        <v>8.0682699767261445E-2</v>
      </c>
      <c r="AA250" s="14">
        <f t="shared" si="1124"/>
        <v>5.2322477309129742E-2</v>
      </c>
      <c r="AB250" s="14">
        <f t="shared" si="1124"/>
        <v>1.8867924528301886E-2</v>
      </c>
      <c r="AC250" s="14">
        <f t="shared" si="1124"/>
        <v>2.1036428937916879E-2</v>
      </c>
      <c r="AD250" s="56">
        <f t="shared" si="1124"/>
        <v>3.8844214256508108E-2</v>
      </c>
      <c r="AE250" s="14">
        <f t="shared" si="1124"/>
        <v>2.7624309392265192E-3</v>
      </c>
      <c r="AF250" s="14">
        <f t="shared" si="1124"/>
        <v>1.9197952218430035E-2</v>
      </c>
      <c r="AG250" s="14">
        <f t="shared" si="1124"/>
        <v>1.0817307692307692E-2</v>
      </c>
      <c r="AH250" s="14">
        <f t="shared" si="1124"/>
        <v>4.0294840294840296E-2</v>
      </c>
      <c r="AI250" s="56">
        <f t="shared" si="1124"/>
        <v>1.8307426597582038E-2</v>
      </c>
      <c r="AJ250" s="14">
        <f t="shared" si="1124"/>
        <v>5.4225696140693697E-2</v>
      </c>
      <c r="AK250" s="14">
        <f t="shared" si="1124"/>
        <v>5.4164956914238817E-2</v>
      </c>
      <c r="AL250" s="14">
        <f t="shared" ref="AL250:BL250" si="1125">AL249/AL202</f>
        <v>5.9933407325194227E-2</v>
      </c>
      <c r="AM250" s="14">
        <f t="shared" si="1125"/>
        <v>6.8681318681318687E-2</v>
      </c>
      <c r="AN250" s="56">
        <f t="shared" si="1125"/>
        <v>5.9225269448297937E-2</v>
      </c>
      <c r="AO250" s="14">
        <f t="shared" si="1125"/>
        <v>6.7788461538461534E-2</v>
      </c>
      <c r="AP250" s="14">
        <f t="shared" si="1125"/>
        <v>6.332341691457713E-2</v>
      </c>
      <c r="AQ250" s="14">
        <f t="shared" si="1125"/>
        <v>6.0947204968944096E-2</v>
      </c>
      <c r="AR250" s="14">
        <f t="shared" si="1125"/>
        <v>7.0098039215686275E-2</v>
      </c>
      <c r="AS250" s="56">
        <f t="shared" si="1125"/>
        <v>6.5200574649132495E-2</v>
      </c>
      <c r="AT250" s="14">
        <f t="shared" si="1125"/>
        <v>7.7220077220077218E-2</v>
      </c>
      <c r="AU250" s="14">
        <f t="shared" si="1125"/>
        <v>6.9565217391304349E-2</v>
      </c>
      <c r="AV250" s="14">
        <f t="shared" si="1125"/>
        <v>6.4971751412429377E-2</v>
      </c>
      <c r="AW250" s="14">
        <f t="shared" si="1125"/>
        <v>7.6429980276134124E-2</v>
      </c>
      <c r="AX250" s="56">
        <f t="shared" si="1125"/>
        <v>7.149576669802446E-2</v>
      </c>
      <c r="AY250" s="14">
        <f t="shared" si="1125"/>
        <v>7.5624308582269276E-2</v>
      </c>
      <c r="AZ250" s="14">
        <f t="shared" si="1125"/>
        <v>6.9035245437939444E-2</v>
      </c>
      <c r="BA250" s="14">
        <f t="shared" si="1125"/>
        <v>6.5016332930778728E-2</v>
      </c>
      <c r="BB250" s="14">
        <f t="shared" si="1125"/>
        <v>7.6029346336021417E-2</v>
      </c>
      <c r="BC250" s="56">
        <f t="shared" si="1125"/>
        <v>7.095652336996508E-2</v>
      </c>
      <c r="BD250" s="14">
        <f t="shared" si="1125"/>
        <v>8.5104355836689433E-2</v>
      </c>
      <c r="BE250" s="14">
        <f t="shared" si="1125"/>
        <v>7.7823613853887669E-2</v>
      </c>
      <c r="BF250" s="14">
        <f t="shared" si="1125"/>
        <v>7.3133278843254823E-2</v>
      </c>
      <c r="BG250" s="14">
        <f t="shared" si="1125"/>
        <v>8.5594328617004722E-2</v>
      </c>
      <c r="BH250" s="56">
        <f t="shared" si="1125"/>
        <v>7.9884257414153476E-2</v>
      </c>
      <c r="BI250" s="56">
        <f t="shared" si="1125"/>
        <v>7.9906441825354724E-2</v>
      </c>
      <c r="BJ250" s="56">
        <f t="shared" si="1125"/>
        <v>7.9906441825354738E-2</v>
      </c>
      <c r="BK250" s="56">
        <f t="shared" si="1125"/>
        <v>7.990644182535471E-2</v>
      </c>
      <c r="BL250" s="56">
        <f t="shared" si="1125"/>
        <v>7.990644182535471E-2</v>
      </c>
      <c r="BO250" s="139"/>
    </row>
    <row r="251" spans="3:67" s="41" customFormat="1" ht="12.75" customHeight="1"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8"/>
      <c r="V251" s="58"/>
      <c r="W251" s="58"/>
      <c r="X251" s="58"/>
      <c r="Y251" s="57"/>
      <c r="Z251" s="58"/>
      <c r="AA251" s="58"/>
      <c r="AB251" s="58"/>
      <c r="AC251" s="58"/>
      <c r="AD251" s="57"/>
      <c r="AE251" s="58"/>
      <c r="AF251" s="58"/>
      <c r="AG251" s="58"/>
      <c r="AH251" s="58"/>
      <c r="AI251" s="57"/>
      <c r="AJ251" s="58"/>
      <c r="AK251" s="58"/>
      <c r="AL251" s="58"/>
      <c r="AM251" s="58"/>
      <c r="AN251" s="57"/>
      <c r="AO251" s="58"/>
      <c r="AP251" s="58"/>
      <c r="AQ251" s="58"/>
      <c r="AR251" s="58"/>
      <c r="AS251" s="57"/>
      <c r="AT251" s="58"/>
      <c r="AU251" s="58"/>
      <c r="AV251" s="58"/>
      <c r="AW251" s="58"/>
      <c r="AX251" s="57"/>
      <c r="AY251" s="58"/>
      <c r="AZ251" s="58"/>
      <c r="BA251" s="58"/>
      <c r="BB251" s="58"/>
      <c r="BC251" s="57"/>
      <c r="BD251" s="58"/>
      <c r="BE251" s="58"/>
      <c r="BF251" s="58"/>
      <c r="BG251" s="58"/>
      <c r="BH251" s="57"/>
      <c r="BI251" s="57"/>
      <c r="BJ251" s="57"/>
      <c r="BK251" s="57"/>
      <c r="BL251" s="57"/>
    </row>
    <row r="252" spans="3:67" s="41" customFormat="1" ht="12.75" customHeight="1">
      <c r="C252" s="41" t="s">
        <v>3</v>
      </c>
      <c r="E252" s="124">
        <f t="shared" ref="E252:Q252" si="1126">E202-E240-E237-E246-E249-E243</f>
        <v>-164</v>
      </c>
      <c r="F252" s="124">
        <f t="shared" si="1126"/>
        <v>-164</v>
      </c>
      <c r="G252" s="124">
        <f t="shared" si="1126"/>
        <v>-164</v>
      </c>
      <c r="H252" s="124">
        <f t="shared" si="1126"/>
        <v>-164</v>
      </c>
      <c r="I252" s="124">
        <f t="shared" si="1126"/>
        <v>-164</v>
      </c>
      <c r="J252" s="124">
        <f t="shared" si="1126"/>
        <v>-164</v>
      </c>
      <c r="K252" s="124">
        <f t="shared" si="1126"/>
        <v>-164</v>
      </c>
      <c r="L252" s="124">
        <f t="shared" si="1126"/>
        <v>-164</v>
      </c>
      <c r="M252" s="124">
        <f t="shared" si="1126"/>
        <v>-164</v>
      </c>
      <c r="N252" s="124">
        <f t="shared" si="1126"/>
        <v>-164</v>
      </c>
      <c r="O252" s="124">
        <f t="shared" si="1126"/>
        <v>-164</v>
      </c>
      <c r="P252" s="124">
        <f t="shared" si="1126"/>
        <v>-164</v>
      </c>
      <c r="Q252" s="124">
        <f t="shared" si="1126"/>
        <v>-164</v>
      </c>
      <c r="R252" s="124">
        <f t="shared" ref="R252:AK252" si="1127">R202-R240-R237-R246-R249-R243</f>
        <v>-164</v>
      </c>
      <c r="S252" s="124">
        <f t="shared" si="1127"/>
        <v>-6</v>
      </c>
      <c r="T252" s="124">
        <f t="shared" si="1127"/>
        <v>265</v>
      </c>
      <c r="U252" s="125">
        <f t="shared" si="1127"/>
        <v>-321</v>
      </c>
      <c r="V252" s="125">
        <f t="shared" si="1127"/>
        <v>-782</v>
      </c>
      <c r="W252" s="125">
        <f t="shared" si="1127"/>
        <v>-164</v>
      </c>
      <c r="X252" s="125">
        <f t="shared" si="1127"/>
        <v>-253</v>
      </c>
      <c r="Y252" s="49">
        <f t="shared" si="1127"/>
        <v>-1520</v>
      </c>
      <c r="Z252" s="125">
        <f t="shared" si="1127"/>
        <v>-41</v>
      </c>
      <c r="AA252" s="125">
        <f t="shared" si="1127"/>
        <v>491</v>
      </c>
      <c r="AB252" s="125">
        <f t="shared" si="1127"/>
        <v>766</v>
      </c>
      <c r="AC252" s="125">
        <f t="shared" si="1127"/>
        <v>534</v>
      </c>
      <c r="AD252" s="49">
        <f t="shared" si="1127"/>
        <v>1750</v>
      </c>
      <c r="AE252" s="125">
        <f t="shared" si="1127"/>
        <v>543</v>
      </c>
      <c r="AF252" s="125">
        <f t="shared" si="1127"/>
        <v>701</v>
      </c>
      <c r="AG252" s="125">
        <f t="shared" si="1127"/>
        <v>611</v>
      </c>
      <c r="AH252" s="125">
        <f t="shared" si="1127"/>
        <v>61</v>
      </c>
      <c r="AI252" s="49">
        <f t="shared" si="1127"/>
        <v>1916</v>
      </c>
      <c r="AJ252" s="125">
        <f t="shared" si="1127"/>
        <v>78</v>
      </c>
      <c r="AK252" s="125">
        <f t="shared" si="1127"/>
        <v>312</v>
      </c>
      <c r="AL252" s="125">
        <f t="shared" ref="AL252:BL252" si="1128">AL202-AL240-AL237-AL246-AL249-AL243</f>
        <v>299</v>
      </c>
      <c r="AM252" s="125">
        <f t="shared" si="1128"/>
        <v>-478</v>
      </c>
      <c r="AN252" s="49">
        <f t="shared" si="1128"/>
        <v>211</v>
      </c>
      <c r="AO252" s="125">
        <f t="shared" si="1128"/>
        <v>-590</v>
      </c>
      <c r="AP252" s="125">
        <f t="shared" si="1128"/>
        <v>-555</v>
      </c>
      <c r="AQ252" s="125">
        <f t="shared" si="1128"/>
        <v>-211</v>
      </c>
      <c r="AR252" s="125">
        <f t="shared" si="1128"/>
        <v>-443</v>
      </c>
      <c r="AS252" s="49">
        <f t="shared" si="1128"/>
        <v>-1799</v>
      </c>
      <c r="AT252" s="125">
        <f t="shared" si="1128"/>
        <v>-385</v>
      </c>
      <c r="AU252" s="125">
        <f t="shared" si="1128"/>
        <v>-51</v>
      </c>
      <c r="AV252" s="125">
        <f t="shared" si="1128"/>
        <v>136</v>
      </c>
      <c r="AW252" s="125">
        <f t="shared" si="1128"/>
        <v>-294</v>
      </c>
      <c r="AX252" s="49">
        <f t="shared" si="1128"/>
        <v>-594</v>
      </c>
      <c r="AY252" s="125">
        <f t="shared" si="1128"/>
        <v>-186.83203911999755</v>
      </c>
      <c r="AZ252" s="125">
        <f t="shared" si="1128"/>
        <v>49.525815806011963</v>
      </c>
      <c r="BA252" s="125">
        <f t="shared" si="1128"/>
        <v>228.90405915000662</v>
      </c>
      <c r="BB252" s="125">
        <f t="shared" si="1128"/>
        <v>-137.42779655096817</v>
      </c>
      <c r="BC252" s="49">
        <f t="shared" si="1128"/>
        <v>-45.829960714947788</v>
      </c>
      <c r="BD252" s="125">
        <f t="shared" si="1128"/>
        <v>-169.49251880239717</v>
      </c>
      <c r="BE252" s="125">
        <f t="shared" si="1128"/>
        <v>73.240138622131951</v>
      </c>
      <c r="BF252" s="125">
        <f t="shared" si="1128"/>
        <v>256.93358453300658</v>
      </c>
      <c r="BG252" s="125">
        <f t="shared" si="1128"/>
        <v>-117.79208308198707</v>
      </c>
      <c r="BH252" s="49">
        <f t="shared" si="1128"/>
        <v>42.889121270754003</v>
      </c>
      <c r="BI252" s="124">
        <f t="shared" si="1128"/>
        <v>184.72062760491508</v>
      </c>
      <c r="BJ252" s="124">
        <f t="shared" si="1128"/>
        <v>317.46001456951626</v>
      </c>
      <c r="BK252" s="124">
        <f t="shared" si="1128"/>
        <v>458.08334393173868</v>
      </c>
      <c r="BL252" s="124">
        <f t="shared" si="1128"/>
        <v>600.16770211305356</v>
      </c>
    </row>
    <row r="253" spans="3:67" s="41" customFormat="1" ht="12.75" customHeight="1">
      <c r="C253" s="126" t="s">
        <v>69</v>
      </c>
      <c r="E253" s="57">
        <f t="shared" ref="E253:Q253" si="1129">E252/E202</f>
        <v>-1.8630012495740089E-2</v>
      </c>
      <c r="F253" s="57">
        <f t="shared" si="1129"/>
        <v>-1.8630012495740089E-2</v>
      </c>
      <c r="G253" s="57">
        <f t="shared" si="1129"/>
        <v>-1.8630012495740089E-2</v>
      </c>
      <c r="H253" s="57">
        <f t="shared" si="1129"/>
        <v>-1.8630012495740089E-2</v>
      </c>
      <c r="I253" s="57">
        <f t="shared" si="1129"/>
        <v>-1.8630012495740089E-2</v>
      </c>
      <c r="J253" s="57">
        <f t="shared" si="1129"/>
        <v>-1.8630012495740089E-2</v>
      </c>
      <c r="K253" s="57">
        <f t="shared" si="1129"/>
        <v>-1.8630012495740089E-2</v>
      </c>
      <c r="L253" s="57">
        <f t="shared" si="1129"/>
        <v>-1.8630012495740089E-2</v>
      </c>
      <c r="M253" s="57">
        <f t="shared" si="1129"/>
        <v>-1.8630012495740089E-2</v>
      </c>
      <c r="N253" s="57">
        <f t="shared" si="1129"/>
        <v>-1.8630012495740089E-2</v>
      </c>
      <c r="O253" s="57">
        <f t="shared" si="1129"/>
        <v>-1.8630012495740089E-2</v>
      </c>
      <c r="P253" s="57">
        <f t="shared" si="1129"/>
        <v>-1.8630012495740089E-2</v>
      </c>
      <c r="Q253" s="57">
        <f t="shared" si="1129"/>
        <v>-1.8630012495740089E-2</v>
      </c>
      <c r="R253" s="57">
        <f t="shared" ref="R253:AK253" si="1130">R252/R202</f>
        <v>-1.8630012495740089E-2</v>
      </c>
      <c r="S253" s="57">
        <f t="shared" si="1130"/>
        <v>-6.3131313131313137E-4</v>
      </c>
      <c r="T253" s="57">
        <f t="shared" si="1130"/>
        <v>2.7098885366601901E-2</v>
      </c>
      <c r="U253" s="58">
        <f t="shared" si="1130"/>
        <v>-0.1669266770670827</v>
      </c>
      <c r="V253" s="58">
        <f t="shared" si="1130"/>
        <v>-0.93990384615384615</v>
      </c>
      <c r="W253" s="58">
        <f t="shared" si="1130"/>
        <v>-0.12933753943217666</v>
      </c>
      <c r="X253" s="58">
        <f t="shared" si="1130"/>
        <v>-0.20485829959514171</v>
      </c>
      <c r="Y253" s="57">
        <f t="shared" si="1130"/>
        <v>-0.28908330163560292</v>
      </c>
      <c r="Z253" s="58">
        <f t="shared" si="1130"/>
        <v>-3.1807602792862683E-2</v>
      </c>
      <c r="AA253" s="58">
        <f t="shared" si="1130"/>
        <v>0.26214628937533369</v>
      </c>
      <c r="AB253" s="58">
        <f t="shared" si="1130"/>
        <v>0.34411500449236299</v>
      </c>
      <c r="AC253" s="58">
        <f t="shared" si="1130"/>
        <v>0.27398665982555154</v>
      </c>
      <c r="AD253" s="57">
        <f t="shared" si="1130"/>
        <v>0.23851710508382173</v>
      </c>
      <c r="AE253" s="58">
        <f t="shared" si="1130"/>
        <v>0.3</v>
      </c>
      <c r="AF253" s="58">
        <f t="shared" si="1130"/>
        <v>0.29906143344709896</v>
      </c>
      <c r="AG253" s="58">
        <f t="shared" si="1130"/>
        <v>0.24479166666666666</v>
      </c>
      <c r="AH253" s="58">
        <f t="shared" si="1130"/>
        <v>2.9975429975429974E-2</v>
      </c>
      <c r="AI253" s="57">
        <f t="shared" si="1130"/>
        <v>0.22061024755325273</v>
      </c>
      <c r="AJ253" s="58">
        <f t="shared" si="1130"/>
        <v>3.8104543234000976E-2</v>
      </c>
      <c r="AK253" s="58">
        <f t="shared" si="1130"/>
        <v>0.12802626179729176</v>
      </c>
      <c r="AL253" s="58">
        <f t="shared" ref="AL253:BL253" si="1131">AL252/AL202</f>
        <v>0.11061783203847576</v>
      </c>
      <c r="AM253" s="58">
        <f t="shared" si="1131"/>
        <v>-0.21886446886446886</v>
      </c>
      <c r="AN253" s="57">
        <f t="shared" si="1131"/>
        <v>2.251627361007363E-2</v>
      </c>
      <c r="AO253" s="58">
        <f t="shared" si="1131"/>
        <v>-0.28365384615384615</v>
      </c>
      <c r="AP253" s="58">
        <f t="shared" si="1131"/>
        <v>-0.2358691032724182</v>
      </c>
      <c r="AQ253" s="58">
        <f t="shared" si="1131"/>
        <v>-8.1909937888198753E-2</v>
      </c>
      <c r="AR253" s="58">
        <f t="shared" si="1131"/>
        <v>-0.21715686274509804</v>
      </c>
      <c r="AS253" s="57">
        <f t="shared" si="1131"/>
        <v>-0.1988064979555752</v>
      </c>
      <c r="AT253" s="58">
        <f t="shared" si="1131"/>
        <v>-0.21235521235521235</v>
      </c>
      <c r="AU253" s="58">
        <f t="shared" si="1131"/>
        <v>-2.3340961098398168E-2</v>
      </c>
      <c r="AV253" s="58">
        <f t="shared" si="1131"/>
        <v>5.4882970137207422E-2</v>
      </c>
      <c r="AW253" s="58">
        <f t="shared" si="1131"/>
        <v>-0.14497041420118342</v>
      </c>
      <c r="AX253" s="57">
        <f t="shared" si="1131"/>
        <v>-6.9849482596425205E-2</v>
      </c>
      <c r="AY253" s="58">
        <f t="shared" si="1131"/>
        <v>-9.9922516120688115E-2</v>
      </c>
      <c r="AZ253" s="58">
        <f t="shared" si="1131"/>
        <v>2.2270888807205687E-2</v>
      </c>
      <c r="BA253" s="58">
        <f t="shared" si="1131"/>
        <v>9.0625395925608934E-2</v>
      </c>
      <c r="BB253" s="58">
        <f t="shared" si="1131"/>
        <v>-6.6088207085198289E-2</v>
      </c>
      <c r="BC253" s="57">
        <f t="shared" si="1131"/>
        <v>-5.2685092970558844E-3</v>
      </c>
      <c r="BD253" s="58">
        <f t="shared" si="1131"/>
        <v>-8.8871471172716529E-2</v>
      </c>
      <c r="BE253" s="58">
        <f t="shared" si="1131"/>
        <v>3.228902247958744E-2</v>
      </c>
      <c r="BF253" s="58">
        <f t="shared" si="1131"/>
        <v>9.9728003999276074E-2</v>
      </c>
      <c r="BG253" s="58">
        <f t="shared" si="1131"/>
        <v>-5.5534813410982146E-2</v>
      </c>
      <c r="BH253" s="57">
        <f t="shared" si="1131"/>
        <v>4.8337617677007491E-3</v>
      </c>
      <c r="BI253" s="57">
        <f t="shared" si="1131"/>
        <v>2.0360370968519673E-2</v>
      </c>
      <c r="BJ253" s="57">
        <f t="shared" si="1131"/>
        <v>3.4399123138448881E-2</v>
      </c>
      <c r="BK253" s="57">
        <f t="shared" si="1131"/>
        <v>4.8663424734064681E-2</v>
      </c>
      <c r="BL253" s="57">
        <f t="shared" si="1131"/>
        <v>6.2507282311994913E-2</v>
      </c>
    </row>
    <row r="254" spans="3:67" s="41" customFormat="1" ht="12.75" customHeight="1">
      <c r="C254" s="123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57"/>
      <c r="U254" s="229"/>
      <c r="V254" s="58"/>
      <c r="W254" s="58"/>
      <c r="X254" s="58"/>
      <c r="Y254" s="57"/>
      <c r="Z254" s="229"/>
      <c r="AA254" s="58"/>
      <c r="AB254" s="58"/>
      <c r="AC254" s="58"/>
      <c r="AD254" s="57"/>
      <c r="AE254" s="229"/>
      <c r="AF254" s="58"/>
      <c r="AG254" s="58"/>
      <c r="AH254" s="58"/>
      <c r="AI254" s="57"/>
      <c r="AJ254" s="229"/>
      <c r="AK254" s="58"/>
      <c r="AL254" s="58"/>
      <c r="AM254" s="58"/>
      <c r="AN254" s="57"/>
      <c r="AO254" s="229"/>
      <c r="AP254" s="58"/>
      <c r="AQ254" s="58"/>
      <c r="AR254" s="58"/>
      <c r="AS254" s="57"/>
      <c r="AT254" s="229"/>
      <c r="AU254" s="58"/>
      <c r="AV254" s="58"/>
      <c r="AW254" s="58"/>
      <c r="AX254" s="57"/>
      <c r="AY254" s="229"/>
      <c r="AZ254" s="67"/>
      <c r="BA254" s="67"/>
      <c r="BB254" s="67"/>
      <c r="BC254" s="50"/>
      <c r="BD254" s="171"/>
      <c r="BE254" s="67"/>
      <c r="BF254" s="67"/>
      <c r="BG254" s="67"/>
      <c r="BH254" s="74"/>
      <c r="BI254" s="74"/>
      <c r="BJ254" s="74"/>
      <c r="BK254" s="74"/>
      <c r="BL254" s="74"/>
    </row>
    <row r="255" spans="3:67" s="38" customFormat="1" ht="12.75" customHeight="1">
      <c r="C255" s="84" t="s">
        <v>258</v>
      </c>
      <c r="E255" s="48">
        <v>306</v>
      </c>
      <c r="F255" s="48">
        <v>306</v>
      </c>
      <c r="G255" s="48">
        <v>306</v>
      </c>
      <c r="H255" s="48">
        <v>306</v>
      </c>
      <c r="I255" s="48">
        <v>306</v>
      </c>
      <c r="J255" s="48">
        <v>306</v>
      </c>
      <c r="K255" s="48">
        <v>306</v>
      </c>
      <c r="L255" s="48">
        <v>306</v>
      </c>
      <c r="M255" s="48">
        <v>306</v>
      </c>
      <c r="N255" s="48">
        <v>306</v>
      </c>
      <c r="O255" s="48">
        <v>306</v>
      </c>
      <c r="P255" s="48">
        <v>306</v>
      </c>
      <c r="Q255" s="48">
        <v>306</v>
      </c>
      <c r="R255" s="48">
        <v>306</v>
      </c>
      <c r="S255" s="48">
        <v>291</v>
      </c>
      <c r="T255" s="48">
        <v>311</v>
      </c>
      <c r="U255" s="39">
        <v>57</v>
      </c>
      <c r="V255" s="39">
        <v>44</v>
      </c>
      <c r="W255" s="39">
        <v>17</v>
      </c>
      <c r="X255" s="39">
        <v>34</v>
      </c>
      <c r="Y255" s="50">
        <f>SUM(U255:X255)</f>
        <v>152</v>
      </c>
      <c r="Z255" s="39">
        <v>44</v>
      </c>
      <c r="AA255" s="39">
        <v>91</v>
      </c>
      <c r="AB255" s="39">
        <v>22</v>
      </c>
      <c r="AC255" s="39">
        <v>28</v>
      </c>
      <c r="AD255" s="50">
        <f>SUM(Z255:AC255)</f>
        <v>185</v>
      </c>
      <c r="AE255" s="39">
        <v>39</v>
      </c>
      <c r="AF255" s="39">
        <v>41</v>
      </c>
      <c r="AG255" s="39">
        <v>43</v>
      </c>
      <c r="AH255" s="39">
        <v>46</v>
      </c>
      <c r="AI255" s="50">
        <f>SUM(AE255:AH255)</f>
        <v>169</v>
      </c>
      <c r="AJ255" s="39">
        <v>51</v>
      </c>
      <c r="AK255" s="39">
        <v>56</v>
      </c>
      <c r="AL255" s="39">
        <v>63</v>
      </c>
      <c r="AM255" s="39">
        <v>68</v>
      </c>
      <c r="AN255" s="50">
        <f>SUM(AJ255:AM255)</f>
        <v>238</v>
      </c>
      <c r="AO255" s="39">
        <v>75</v>
      </c>
      <c r="AP255" s="39">
        <v>88</v>
      </c>
      <c r="AQ255" s="39">
        <v>89</v>
      </c>
      <c r="AR255" s="39">
        <v>117</v>
      </c>
      <c r="AS255" s="50">
        <f>SUM(AO255:AR255)</f>
        <v>369</v>
      </c>
      <c r="AT255" s="39">
        <v>127</v>
      </c>
      <c r="AU255" s="39">
        <v>232</v>
      </c>
      <c r="AV255" s="39">
        <v>86</v>
      </c>
      <c r="AW255" s="39">
        <v>24</v>
      </c>
      <c r="AX255" s="50">
        <f>SUM(AT255:AW255)</f>
        <v>469</v>
      </c>
      <c r="AY255" s="67">
        <f ca="1">AY331</f>
        <v>118.96230731052339</v>
      </c>
      <c r="AZ255" s="67">
        <f t="shared" ref="AZ255:BB255" ca="1" si="1132">AZ331</f>
        <v>99.073038602424077</v>
      </c>
      <c r="BA255" s="67">
        <f t="shared" ca="1" si="1132"/>
        <v>99.368926989104978</v>
      </c>
      <c r="BB255" s="67">
        <f t="shared" ca="1" si="1132"/>
        <v>79.160957108971914</v>
      </c>
      <c r="BC255" s="50">
        <f ca="1">SUM(AY255:BB255)</f>
        <v>396.56523001102431</v>
      </c>
      <c r="BD255" s="67">
        <f t="shared" ref="BD255:BG255" ca="1" si="1133">BD331</f>
        <v>85.999335594865812</v>
      </c>
      <c r="BE255" s="67">
        <f t="shared" ca="1" si="1133"/>
        <v>66.671920285422203</v>
      </c>
      <c r="BF255" s="67">
        <f t="shared" ca="1" si="1133"/>
        <v>66.472272594782567</v>
      </c>
      <c r="BG255" s="67">
        <f t="shared" ca="1" si="1133"/>
        <v>43.010395791545115</v>
      </c>
      <c r="BH255" s="50">
        <f ca="1">SUM(BD255:BG255)</f>
        <v>262.15392426661572</v>
      </c>
      <c r="BI255" s="74">
        <f t="shared" ref="BI255:BL255" ca="1" si="1134">BI331</f>
        <v>92.045402099113687</v>
      </c>
      <c r="BJ255" s="74">
        <f t="shared" ca="1" si="1134"/>
        <v>-101.43163295805968</v>
      </c>
      <c r="BK255" s="74">
        <f t="shared" ca="1" si="1134"/>
        <v>-326.85917591148666</v>
      </c>
      <c r="BL255" s="74">
        <f t="shared" ca="1" si="1134"/>
        <v>-587.53414219916647</v>
      </c>
    </row>
    <row r="256" spans="3:67" s="38" customFormat="1" ht="12.75" customHeight="1">
      <c r="C256" s="84" t="s">
        <v>51</v>
      </c>
      <c r="E256" s="48">
        <v>19</v>
      </c>
      <c r="F256" s="48">
        <v>19</v>
      </c>
      <c r="G256" s="48">
        <v>19</v>
      </c>
      <c r="H256" s="48">
        <v>19</v>
      </c>
      <c r="I256" s="48">
        <v>19</v>
      </c>
      <c r="J256" s="48">
        <v>19</v>
      </c>
      <c r="K256" s="48">
        <v>19</v>
      </c>
      <c r="L256" s="48">
        <v>19</v>
      </c>
      <c r="M256" s="48">
        <v>19</v>
      </c>
      <c r="N256" s="48">
        <v>19</v>
      </c>
      <c r="O256" s="48">
        <v>19</v>
      </c>
      <c r="P256" s="48">
        <v>19</v>
      </c>
      <c r="Q256" s="48">
        <v>19</v>
      </c>
      <c r="R256" s="48">
        <v>19</v>
      </c>
      <c r="S256" s="48">
        <v>-40</v>
      </c>
      <c r="T256" s="48">
        <v>-59</v>
      </c>
      <c r="U256" s="39">
        <v>-17</v>
      </c>
      <c r="V256" s="39">
        <v>2</v>
      </c>
      <c r="W256" s="39">
        <v>0</v>
      </c>
      <c r="X256" s="39">
        <v>6</v>
      </c>
      <c r="Y256" s="50">
        <f>SUM(U256:X256)</f>
        <v>-9</v>
      </c>
      <c r="Z256" s="39">
        <v>-3</v>
      </c>
      <c r="AA256" s="39">
        <v>-10</v>
      </c>
      <c r="AB256" s="39">
        <v>-7</v>
      </c>
      <c r="AC256" s="39">
        <v>-1</v>
      </c>
      <c r="AD256" s="50">
        <f>SUM(Z256:AC256)</f>
        <v>-21</v>
      </c>
      <c r="AE256" s="39">
        <v>-2</v>
      </c>
      <c r="AF256" s="39">
        <v>2</v>
      </c>
      <c r="AG256" s="39">
        <v>-6</v>
      </c>
      <c r="AH256" s="39">
        <v>8</v>
      </c>
      <c r="AI256" s="50">
        <f>SUM(AE256:AH256)</f>
        <v>2</v>
      </c>
      <c r="AJ256" s="39">
        <v>9</v>
      </c>
      <c r="AK256" s="39">
        <v>-2</v>
      </c>
      <c r="AL256" s="39">
        <v>5</v>
      </c>
      <c r="AM256" s="39">
        <v>0</v>
      </c>
      <c r="AN256" s="50">
        <f>SUM(AJ256:AM256)</f>
        <v>12</v>
      </c>
      <c r="AO256" s="39">
        <v>2</v>
      </c>
      <c r="AP256" s="39">
        <v>-5</v>
      </c>
      <c r="AQ256" s="39">
        <v>5</v>
      </c>
      <c r="AR256" s="39">
        <v>2</v>
      </c>
      <c r="AS256" s="50">
        <f>SUM(AO256:AR256)</f>
        <v>4</v>
      </c>
      <c r="AT256" s="39">
        <v>4</v>
      </c>
      <c r="AU256" s="39">
        <v>7</v>
      </c>
      <c r="AV256" s="39">
        <v>-1</v>
      </c>
      <c r="AW256" s="39">
        <v>-5</v>
      </c>
      <c r="AX256" s="50">
        <f>SUM(AT256:AW256)</f>
        <v>5</v>
      </c>
      <c r="AY256" s="67">
        <v>0</v>
      </c>
      <c r="AZ256" s="67">
        <v>0</v>
      </c>
      <c r="BA256" s="67">
        <v>0</v>
      </c>
      <c r="BB256" s="67">
        <v>0</v>
      </c>
      <c r="BC256" s="50">
        <f>SUM(AY256:BB256)</f>
        <v>0</v>
      </c>
      <c r="BD256" s="67">
        <v>0</v>
      </c>
      <c r="BE256" s="67">
        <v>0</v>
      </c>
      <c r="BF256" s="67">
        <v>0</v>
      </c>
      <c r="BG256" s="67">
        <v>0</v>
      </c>
      <c r="BH256" s="50">
        <f>SUM(BD256:BG256)</f>
        <v>0</v>
      </c>
      <c r="BI256" s="74">
        <v>0</v>
      </c>
      <c r="BJ256" s="74">
        <v>0</v>
      </c>
      <c r="BK256" s="74">
        <v>0</v>
      </c>
      <c r="BL256" s="74">
        <v>0</v>
      </c>
    </row>
    <row r="257" spans="3:64" s="38" customFormat="1" ht="12.75" customHeight="1">
      <c r="C257" s="84" t="s">
        <v>307</v>
      </c>
      <c r="E257" s="48">
        <v>86</v>
      </c>
      <c r="F257" s="48">
        <v>86</v>
      </c>
      <c r="G257" s="48">
        <v>86</v>
      </c>
      <c r="H257" s="48">
        <v>86</v>
      </c>
      <c r="I257" s="48">
        <v>86</v>
      </c>
      <c r="J257" s="48">
        <v>86</v>
      </c>
      <c r="K257" s="48">
        <v>86</v>
      </c>
      <c r="L257" s="48">
        <v>86</v>
      </c>
      <c r="M257" s="48">
        <v>86</v>
      </c>
      <c r="N257" s="48">
        <v>86</v>
      </c>
      <c r="O257" s="48">
        <v>86</v>
      </c>
      <c r="P257" s="48">
        <v>86</v>
      </c>
      <c r="Q257" s="48">
        <v>86</v>
      </c>
      <c r="R257" s="48">
        <v>86</v>
      </c>
      <c r="S257" s="48">
        <v>0</v>
      </c>
      <c r="T257" s="48">
        <v>0</v>
      </c>
      <c r="U257" s="39">
        <v>0</v>
      </c>
      <c r="V257" s="39">
        <f>193+23</f>
        <v>216</v>
      </c>
      <c r="W257" s="39">
        <v>78</v>
      </c>
      <c r="X257" s="39">
        <v>94</v>
      </c>
      <c r="Y257" s="50">
        <f>SUM(U257:X257)</f>
        <v>388</v>
      </c>
      <c r="Z257" s="39">
        <f>42-392</f>
        <v>-350</v>
      </c>
      <c r="AA257" s="39">
        <f>633-8</f>
        <v>625</v>
      </c>
      <c r="AB257" s="39">
        <v>-16</v>
      </c>
      <c r="AC257" s="39">
        <v>643</v>
      </c>
      <c r="AD257" s="50">
        <f>SUM(Z257:AC257)</f>
        <v>902</v>
      </c>
      <c r="AE257" s="39">
        <v>-50</v>
      </c>
      <c r="AF257" s="39">
        <v>-461</v>
      </c>
      <c r="AG257" s="39">
        <v>-73</v>
      </c>
      <c r="AH257" s="39">
        <v>-120</v>
      </c>
      <c r="AI257" s="50">
        <f>SUM(AE257:AH257)</f>
        <v>-704</v>
      </c>
      <c r="AJ257" s="39">
        <f>-162+118</f>
        <v>-44</v>
      </c>
      <c r="AK257" s="39">
        <v>100</v>
      </c>
      <c r="AL257" s="39">
        <v>-328</v>
      </c>
      <c r="AM257" s="39">
        <v>-53</v>
      </c>
      <c r="AN257" s="50">
        <f>SUM(AJ257:AM257)</f>
        <v>-325</v>
      </c>
      <c r="AO257" s="39">
        <v>-86</v>
      </c>
      <c r="AP257" s="39">
        <v>-165</v>
      </c>
      <c r="AQ257" s="39">
        <f>288+1048-21</f>
        <v>1315</v>
      </c>
      <c r="AR257" s="39">
        <v>1</v>
      </c>
      <c r="AS257" s="50">
        <f>SUM(AO257:AR257)</f>
        <v>1065</v>
      </c>
      <c r="AT257" s="39">
        <v>9</v>
      </c>
      <c r="AU257" s="39">
        <f>-89+115</f>
        <v>26</v>
      </c>
      <c r="AV257" s="39">
        <f>-39-154+4+6</f>
        <v>-183</v>
      </c>
      <c r="AW257" s="39">
        <f>-16+12-86</f>
        <v>-90</v>
      </c>
      <c r="AX257" s="50">
        <f>SUM(AT257:AW257)</f>
        <v>-238</v>
      </c>
      <c r="AY257" s="67">
        <v>0</v>
      </c>
      <c r="AZ257" s="67">
        <v>0</v>
      </c>
      <c r="BA257" s="67">
        <v>0</v>
      </c>
      <c r="BB257" s="67">
        <v>0</v>
      </c>
      <c r="BC257" s="50">
        <f>SUM(AY257:BB257)</f>
        <v>0</v>
      </c>
      <c r="BD257" s="67">
        <v>0</v>
      </c>
      <c r="BE257" s="67">
        <v>0</v>
      </c>
      <c r="BF257" s="67">
        <v>0</v>
      </c>
      <c r="BG257" s="67">
        <v>0</v>
      </c>
      <c r="BH257" s="50">
        <f>SUM(BD257:BG257)</f>
        <v>0</v>
      </c>
      <c r="BI257" s="74">
        <v>0</v>
      </c>
      <c r="BJ257" s="74">
        <v>0</v>
      </c>
      <c r="BK257" s="74">
        <v>0</v>
      </c>
      <c r="BL257" s="74">
        <v>0</v>
      </c>
    </row>
    <row r="258" spans="3:64" s="38" customFormat="1" ht="12.75" customHeight="1"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Y258" s="50"/>
      <c r="AD258" s="50"/>
      <c r="AI258" s="50"/>
      <c r="AN258" s="50"/>
      <c r="AS258" s="50"/>
      <c r="AX258" s="50"/>
      <c r="BC258" s="50"/>
      <c r="BH258" s="50"/>
      <c r="BI258" s="50"/>
      <c r="BJ258" s="50"/>
      <c r="BK258" s="50"/>
      <c r="BL258" s="50"/>
    </row>
    <row r="259" spans="3:64" s="41" customFormat="1" ht="12.75" customHeight="1">
      <c r="C259" s="41" t="s">
        <v>24</v>
      </c>
      <c r="E259" s="49">
        <f t="shared" ref="E259:Q259" si="1135">E252-SUM(E255:E257)</f>
        <v>-575</v>
      </c>
      <c r="F259" s="49">
        <f t="shared" si="1135"/>
        <v>-575</v>
      </c>
      <c r="G259" s="49">
        <f t="shared" si="1135"/>
        <v>-575</v>
      </c>
      <c r="H259" s="49">
        <f t="shared" si="1135"/>
        <v>-575</v>
      </c>
      <c r="I259" s="49">
        <f t="shared" si="1135"/>
        <v>-575</v>
      </c>
      <c r="J259" s="49">
        <f t="shared" si="1135"/>
        <v>-575</v>
      </c>
      <c r="K259" s="49">
        <f t="shared" si="1135"/>
        <v>-575</v>
      </c>
      <c r="L259" s="49">
        <f t="shared" si="1135"/>
        <v>-575</v>
      </c>
      <c r="M259" s="49">
        <f t="shared" si="1135"/>
        <v>-575</v>
      </c>
      <c r="N259" s="49">
        <f t="shared" si="1135"/>
        <v>-575</v>
      </c>
      <c r="O259" s="49">
        <f t="shared" si="1135"/>
        <v>-575</v>
      </c>
      <c r="P259" s="49">
        <f t="shared" si="1135"/>
        <v>-575</v>
      </c>
      <c r="Q259" s="49">
        <f t="shared" si="1135"/>
        <v>-575</v>
      </c>
      <c r="R259" s="49">
        <f>R252-SUM(R255:R257)</f>
        <v>-575</v>
      </c>
      <c r="S259" s="49">
        <f>S252-SUM(S255:S257)</f>
        <v>-257</v>
      </c>
      <c r="T259" s="49">
        <f>T252-SUM(T255:T257)</f>
        <v>13</v>
      </c>
      <c r="U259" s="41">
        <f t="shared" ref="U259:AO259" si="1136">U252-SUM(U255:U257)</f>
        <v>-361</v>
      </c>
      <c r="V259" s="41">
        <f>V252-SUM(V255:V257)</f>
        <v>-1044</v>
      </c>
      <c r="W259" s="41">
        <f>W252-SUM(W255:W257)</f>
        <v>-259</v>
      </c>
      <c r="X259" s="41">
        <f>X252-SUM(X255:X257)</f>
        <v>-387</v>
      </c>
      <c r="Y259" s="49">
        <f t="shared" ref="Y259" si="1137">Y252-SUM(Y255:Y257)</f>
        <v>-2051</v>
      </c>
      <c r="Z259" s="41">
        <f>Z252-SUM(Z255:Z257)</f>
        <v>268</v>
      </c>
      <c r="AA259" s="41">
        <f t="shared" ref="AA259:AD259" si="1138">AA252-SUM(AA255:AA257)</f>
        <v>-215</v>
      </c>
      <c r="AB259" s="41">
        <f t="shared" si="1138"/>
        <v>767</v>
      </c>
      <c r="AC259" s="41">
        <f t="shared" si="1138"/>
        <v>-136</v>
      </c>
      <c r="AD259" s="49">
        <f t="shared" si="1138"/>
        <v>684</v>
      </c>
      <c r="AE259" s="41">
        <f t="shared" ref="AE259" si="1139">AE252-SUM(AE255:AE257)</f>
        <v>556</v>
      </c>
      <c r="AF259" s="41">
        <f>AF252-SUM(AF255:AF257)</f>
        <v>1119</v>
      </c>
      <c r="AG259" s="41">
        <f>AG252-SUM(AG255:AG257)</f>
        <v>647</v>
      </c>
      <c r="AH259" s="41">
        <f>AH252-SUM(AH255:AH257)</f>
        <v>127</v>
      </c>
      <c r="AI259" s="49">
        <f t="shared" ref="AI259" si="1140">AI252-SUM(AI255:AI257)</f>
        <v>2449</v>
      </c>
      <c r="AJ259" s="41">
        <f>AJ252-SUM(AJ255:AJ257)</f>
        <v>62</v>
      </c>
      <c r="AK259" s="41">
        <f t="shared" ref="AK259:AN259" si="1141">AK252-SUM(AK255:AK257)</f>
        <v>158</v>
      </c>
      <c r="AL259" s="41">
        <f t="shared" si="1141"/>
        <v>559</v>
      </c>
      <c r="AM259" s="41">
        <f t="shared" si="1141"/>
        <v>-493</v>
      </c>
      <c r="AN259" s="49">
        <f t="shared" si="1141"/>
        <v>286</v>
      </c>
      <c r="AO259" s="41">
        <f t="shared" si="1136"/>
        <v>-581</v>
      </c>
      <c r="AP259" s="41">
        <f>AP252-SUM(AP255:AP257)</f>
        <v>-473</v>
      </c>
      <c r="AQ259" s="41">
        <f>AQ252-SUM(AQ255:AQ257)</f>
        <v>-1620</v>
      </c>
      <c r="AR259" s="41">
        <f>AR252-SUM(AR255:AR257)</f>
        <v>-563</v>
      </c>
      <c r="AS259" s="49">
        <f t="shared" ref="AS259" si="1142">AS252-SUM(AS255:AS257)</f>
        <v>-3237</v>
      </c>
      <c r="AT259" s="41">
        <f>AT252-SUM(AT255:AT257)</f>
        <v>-525</v>
      </c>
      <c r="AU259" s="41">
        <f t="shared" ref="AU259:AW259" si="1143">AU252-SUM(AU255:AU257)</f>
        <v>-316</v>
      </c>
      <c r="AV259" s="41">
        <f t="shared" si="1143"/>
        <v>234</v>
      </c>
      <c r="AW259" s="41">
        <f t="shared" si="1143"/>
        <v>-223</v>
      </c>
      <c r="AX259" s="49">
        <f t="shared" ref="AX259:BL259" si="1144">AX252-SUM(AX255:AX257)</f>
        <v>-830</v>
      </c>
      <c r="AY259" s="41">
        <f t="shared" ca="1" si="1144"/>
        <v>-305.79434643052093</v>
      </c>
      <c r="AZ259" s="41">
        <f t="shared" ca="1" si="1144"/>
        <v>-49.547222796412115</v>
      </c>
      <c r="BA259" s="41">
        <f t="shared" ca="1" si="1144"/>
        <v>129.53513216090164</v>
      </c>
      <c r="BB259" s="41">
        <f t="shared" ca="1" si="1144"/>
        <v>-216.5887536599401</v>
      </c>
      <c r="BC259" s="49">
        <f t="shared" ca="1" si="1144"/>
        <v>-442.3951907259721</v>
      </c>
      <c r="BD259" s="41">
        <f t="shared" ref="BD259:BH259" ca="1" si="1145">BD252-SUM(BD255:BD257)</f>
        <v>-255.49185439726298</v>
      </c>
      <c r="BE259" s="41">
        <f t="shared" ca="1" si="1145"/>
        <v>6.568218336709748</v>
      </c>
      <c r="BF259" s="41">
        <f t="shared" ca="1" si="1145"/>
        <v>190.46131193822401</v>
      </c>
      <c r="BG259" s="41">
        <f t="shared" ca="1" si="1145"/>
        <v>-160.80247887353218</v>
      </c>
      <c r="BH259" s="49">
        <f t="shared" ca="1" si="1145"/>
        <v>-219.26480299586171</v>
      </c>
      <c r="BI259" s="49">
        <f t="shared" ca="1" si="1144"/>
        <v>92.675225505801393</v>
      </c>
      <c r="BJ259" s="49">
        <f t="shared" ca="1" si="1144"/>
        <v>418.89164752757597</v>
      </c>
      <c r="BK259" s="49">
        <f t="shared" ca="1" si="1144"/>
        <v>784.94251984322534</v>
      </c>
      <c r="BL259" s="49">
        <f t="shared" ca="1" si="1144"/>
        <v>1187.7018443122201</v>
      </c>
    </row>
    <row r="260" spans="3:64" s="38" customFormat="1" ht="12.75" customHeight="1"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Y260" s="50"/>
      <c r="AD260" s="50"/>
      <c r="AI260" s="50"/>
      <c r="AN260" s="50"/>
      <c r="AS260" s="50"/>
      <c r="AX260" s="50"/>
      <c r="BC260" s="50"/>
      <c r="BH260" s="50"/>
      <c r="BI260" s="50"/>
      <c r="BJ260" s="50"/>
      <c r="BK260" s="50"/>
      <c r="BL260" s="50"/>
    </row>
    <row r="261" spans="3:64" s="38" customFormat="1" ht="12.75" customHeight="1">
      <c r="C261" s="38" t="s">
        <v>25</v>
      </c>
      <c r="E261" s="48">
        <v>-902</v>
      </c>
      <c r="F261" s="48">
        <v>-902</v>
      </c>
      <c r="G261" s="48">
        <v>-902</v>
      </c>
      <c r="H261" s="48">
        <v>-902</v>
      </c>
      <c r="I261" s="48">
        <v>-902</v>
      </c>
      <c r="J261" s="48">
        <v>-902</v>
      </c>
      <c r="K261" s="48">
        <v>-902</v>
      </c>
      <c r="L261" s="48">
        <v>-902</v>
      </c>
      <c r="M261" s="48">
        <v>-902</v>
      </c>
      <c r="N261" s="48">
        <v>-902</v>
      </c>
      <c r="O261" s="48">
        <v>-902</v>
      </c>
      <c r="P261" s="48">
        <v>-902</v>
      </c>
      <c r="Q261" s="48">
        <v>-902</v>
      </c>
      <c r="R261" s="48">
        <v>-902</v>
      </c>
      <c r="S261" s="48">
        <v>-30</v>
      </c>
      <c r="T261" s="48">
        <v>63</v>
      </c>
      <c r="U261" s="39">
        <v>-4</v>
      </c>
      <c r="V261" s="39">
        <v>-192</v>
      </c>
      <c r="W261" s="39">
        <v>-36</v>
      </c>
      <c r="X261" s="39">
        <v>-97</v>
      </c>
      <c r="Y261" s="50">
        <f>SUM(U261:X261)</f>
        <v>-329</v>
      </c>
      <c r="Z261" s="39">
        <v>79</v>
      </c>
      <c r="AA261" s="39">
        <v>-46</v>
      </c>
      <c r="AB261" s="39">
        <v>160</v>
      </c>
      <c r="AC261" s="39">
        <v>125</v>
      </c>
      <c r="AD261" s="50">
        <f>SUM(Z261:AC261)</f>
        <v>318</v>
      </c>
      <c r="AE261" s="39">
        <v>130</v>
      </c>
      <c r="AF261" s="39">
        <v>179</v>
      </c>
      <c r="AG261" s="39">
        <v>70</v>
      </c>
      <c r="AH261" s="39">
        <v>11</v>
      </c>
      <c r="AI261" s="50">
        <f>SUM(AE261:AH261)</f>
        <v>390</v>
      </c>
      <c r="AJ261" s="39">
        <v>-134</v>
      </c>
      <c r="AK261" s="39">
        <v>19</v>
      </c>
      <c r="AL261" s="39">
        <v>-70</v>
      </c>
      <c r="AM261" s="39">
        <v>-145</v>
      </c>
      <c r="AN261" s="50">
        <f>SUM(AJ261:AM261)</f>
        <v>-330</v>
      </c>
      <c r="AO261" s="39">
        <v>-395</v>
      </c>
      <c r="AP261" s="39">
        <v>392</v>
      </c>
      <c r="AQ261" s="39">
        <v>-288</v>
      </c>
      <c r="AR261" s="39">
        <v>-84</v>
      </c>
      <c r="AS261" s="50">
        <f>SUM(AO261:AR261)</f>
        <v>-375</v>
      </c>
      <c r="AT261" s="39">
        <v>-82</v>
      </c>
      <c r="AU261" s="39">
        <v>-22</v>
      </c>
      <c r="AV261" s="39">
        <v>50</v>
      </c>
      <c r="AW261" s="39">
        <v>-29</v>
      </c>
      <c r="AX261" s="50">
        <f>SUM(AT261:AW261)</f>
        <v>-83</v>
      </c>
      <c r="AY261" s="38">
        <f ca="1">AY259*AY262</f>
        <v>0</v>
      </c>
      <c r="AZ261" s="38">
        <f ca="1">AZ259*AZ262</f>
        <v>0</v>
      </c>
      <c r="BA261" s="38">
        <f ca="1">BA259*BA262</f>
        <v>0</v>
      </c>
      <c r="BB261" s="38">
        <f ca="1">BB259*BB262</f>
        <v>0</v>
      </c>
      <c r="BC261" s="50">
        <f ca="1">SUM(AY261:BB261)</f>
        <v>0</v>
      </c>
      <c r="BD261" s="38">
        <f ca="1">BD259*BD262</f>
        <v>0</v>
      </c>
      <c r="BE261" s="38">
        <f ca="1">BE259*BE262</f>
        <v>0</v>
      </c>
      <c r="BF261" s="38">
        <f ca="1">BF259*BF262</f>
        <v>0</v>
      </c>
      <c r="BG261" s="38">
        <f ca="1">BG259*BG262</f>
        <v>0</v>
      </c>
      <c r="BH261" s="50">
        <f ca="1">SUM(BD261:BG261)</f>
        <v>0</v>
      </c>
      <c r="BI261" s="50">
        <f ca="1">BI259*BI262</f>
        <v>0</v>
      </c>
      <c r="BJ261" s="50">
        <f ca="1">BJ259*BJ262</f>
        <v>0</v>
      </c>
      <c r="BK261" s="50">
        <f ca="1">BK259*BK262</f>
        <v>0</v>
      </c>
      <c r="BL261" s="50">
        <f ca="1">BL259*BL262</f>
        <v>0</v>
      </c>
    </row>
    <row r="262" spans="3:64" s="18" customFormat="1" ht="12.75" customHeight="1">
      <c r="C262" s="59" t="s">
        <v>2</v>
      </c>
      <c r="D262" s="59"/>
      <c r="E262" s="53">
        <f t="shared" ref="E262:Q262" si="1146">E261/E259</f>
        <v>1.568695652173913</v>
      </c>
      <c r="F262" s="53">
        <f t="shared" si="1146"/>
        <v>1.568695652173913</v>
      </c>
      <c r="G262" s="53">
        <f t="shared" si="1146"/>
        <v>1.568695652173913</v>
      </c>
      <c r="H262" s="53">
        <f t="shared" si="1146"/>
        <v>1.568695652173913</v>
      </c>
      <c r="I262" s="53">
        <f t="shared" si="1146"/>
        <v>1.568695652173913</v>
      </c>
      <c r="J262" s="53">
        <f t="shared" si="1146"/>
        <v>1.568695652173913</v>
      </c>
      <c r="K262" s="53">
        <f t="shared" si="1146"/>
        <v>1.568695652173913</v>
      </c>
      <c r="L262" s="53">
        <f t="shared" si="1146"/>
        <v>1.568695652173913</v>
      </c>
      <c r="M262" s="53">
        <f t="shared" si="1146"/>
        <v>1.568695652173913</v>
      </c>
      <c r="N262" s="53">
        <f t="shared" si="1146"/>
        <v>1.568695652173913</v>
      </c>
      <c r="O262" s="53">
        <f t="shared" si="1146"/>
        <v>1.568695652173913</v>
      </c>
      <c r="P262" s="53">
        <f t="shared" si="1146"/>
        <v>1.568695652173913</v>
      </c>
      <c r="Q262" s="53">
        <f t="shared" si="1146"/>
        <v>1.568695652173913</v>
      </c>
      <c r="R262" s="53">
        <f t="shared" ref="R262" si="1147">R261/R259</f>
        <v>1.568695652173913</v>
      </c>
      <c r="S262" s="53">
        <f t="shared" ref="S262" si="1148">S261/S259</f>
        <v>0.11673151750972763</v>
      </c>
      <c r="T262" s="53">
        <f t="shared" ref="T262" si="1149">T261/T259</f>
        <v>4.8461538461538458</v>
      </c>
      <c r="U262" s="18">
        <f t="shared" ref="U262:X262" si="1150">U261/U259</f>
        <v>1.1080332409972299E-2</v>
      </c>
      <c r="V262" s="18">
        <f t="shared" si="1150"/>
        <v>0.18390804597701149</v>
      </c>
      <c r="W262" s="18">
        <f t="shared" si="1150"/>
        <v>0.138996138996139</v>
      </c>
      <c r="X262" s="18">
        <f t="shared" si="1150"/>
        <v>0.25064599483204136</v>
      </c>
      <c r="Y262" s="53">
        <f>Y261/Y259</f>
        <v>0.16040955631399317</v>
      </c>
      <c r="Z262" s="18">
        <f t="shared" ref="Z262:AC262" si="1151">Z261/Z259</f>
        <v>0.29477611940298509</v>
      </c>
      <c r="AA262" s="18">
        <f t="shared" si="1151"/>
        <v>0.21395348837209302</v>
      </c>
      <c r="AB262" s="18">
        <f t="shared" si="1151"/>
        <v>0.20860495436766624</v>
      </c>
      <c r="AC262" s="18">
        <f t="shared" si="1151"/>
        <v>-0.91911764705882348</v>
      </c>
      <c r="AD262" s="53">
        <f>AD261/AD259</f>
        <v>0.46491228070175439</v>
      </c>
      <c r="AE262" s="18">
        <f t="shared" ref="AE262:AH262" si="1152">AE261/AE259</f>
        <v>0.23381294964028776</v>
      </c>
      <c r="AF262" s="18">
        <f t="shared" si="1152"/>
        <v>0.15996425379803395</v>
      </c>
      <c r="AG262" s="18">
        <f t="shared" si="1152"/>
        <v>0.10819165378670788</v>
      </c>
      <c r="AH262" s="18">
        <f t="shared" si="1152"/>
        <v>8.6614173228346455E-2</v>
      </c>
      <c r="AI262" s="53">
        <f>AI261/AI259</f>
        <v>0.1592486729277256</v>
      </c>
      <c r="AJ262" s="18">
        <f t="shared" ref="AJ262:AM262" si="1153">AJ261/AJ259</f>
        <v>-2.161290322580645</v>
      </c>
      <c r="AK262" s="18">
        <f t="shared" si="1153"/>
        <v>0.12025316455696203</v>
      </c>
      <c r="AL262" s="18">
        <f t="shared" si="1153"/>
        <v>-0.12522361359570661</v>
      </c>
      <c r="AM262" s="18">
        <f t="shared" si="1153"/>
        <v>0.29411764705882354</v>
      </c>
      <c r="AN262" s="53">
        <f>AN261/AN259</f>
        <v>-1.1538461538461537</v>
      </c>
      <c r="AO262" s="18">
        <f t="shared" ref="AO262:AR262" si="1154">AO261/AO259</f>
        <v>0.67986230636833045</v>
      </c>
      <c r="AP262" s="18">
        <f t="shared" si="1154"/>
        <v>-0.82875264270613103</v>
      </c>
      <c r="AQ262" s="18">
        <f t="shared" si="1154"/>
        <v>0.17777777777777778</v>
      </c>
      <c r="AR262" s="18">
        <f t="shared" si="1154"/>
        <v>0.1492007104795737</v>
      </c>
      <c r="AS262" s="53">
        <f>AS261/AS259</f>
        <v>0.11584800741427248</v>
      </c>
      <c r="AT262" s="18">
        <f t="shared" ref="AT262" si="1155">AT261/AT259</f>
        <v>0.15619047619047619</v>
      </c>
      <c r="AU262" s="18">
        <f t="shared" ref="AU262:AW262" si="1156">AU261/AU259</f>
        <v>6.9620253164556958E-2</v>
      </c>
      <c r="AV262" s="18">
        <f t="shared" si="1156"/>
        <v>0.21367521367521367</v>
      </c>
      <c r="AW262" s="18">
        <f t="shared" si="1156"/>
        <v>0.13004484304932734</v>
      </c>
      <c r="AX262" s="53">
        <f>AX261/AX259</f>
        <v>0.1</v>
      </c>
      <c r="AY262" s="62">
        <v>0</v>
      </c>
      <c r="AZ262" s="62">
        <v>0</v>
      </c>
      <c r="BA262" s="62">
        <v>0</v>
      </c>
      <c r="BB262" s="62">
        <v>0</v>
      </c>
      <c r="BC262" s="53">
        <f ca="1">BC261/BC259</f>
        <v>0</v>
      </c>
      <c r="BD262" s="62">
        <v>0</v>
      </c>
      <c r="BE262" s="62">
        <v>0</v>
      </c>
      <c r="BF262" s="62">
        <v>0</v>
      </c>
      <c r="BG262" s="62">
        <v>0</v>
      </c>
      <c r="BH262" s="53">
        <f ca="1">BH261/BH259</f>
        <v>0</v>
      </c>
      <c r="BI262" s="63">
        <v>0</v>
      </c>
      <c r="BJ262" s="63">
        <v>0</v>
      </c>
      <c r="BK262" s="63">
        <v>0</v>
      </c>
      <c r="BL262" s="63">
        <v>0</v>
      </c>
    </row>
    <row r="263" spans="3:64" s="38" customFormat="1" ht="12.75" customHeight="1"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Y263" s="50"/>
      <c r="AD263" s="50"/>
      <c r="AI263" s="50"/>
      <c r="AN263" s="50"/>
      <c r="AS263" s="50"/>
      <c r="AX263" s="50"/>
      <c r="BC263" s="50"/>
      <c r="BH263" s="50"/>
      <c r="BI263" s="50"/>
      <c r="BJ263" s="50"/>
      <c r="BK263" s="50"/>
      <c r="BL263" s="50"/>
    </row>
    <row r="264" spans="3:64" s="38" customFormat="1" ht="12.75" customHeight="1">
      <c r="C264" s="38" t="s">
        <v>20</v>
      </c>
      <c r="E264" s="48">
        <v>0</v>
      </c>
      <c r="F264" s="48">
        <v>0</v>
      </c>
      <c r="G264" s="48">
        <v>0</v>
      </c>
      <c r="H264" s="48">
        <v>0</v>
      </c>
      <c r="I264" s="48">
        <v>0</v>
      </c>
      <c r="J264" s="48">
        <v>0</v>
      </c>
      <c r="K264" s="48">
        <v>0</v>
      </c>
      <c r="L264" s="48">
        <v>0</v>
      </c>
      <c r="M264" s="48">
        <v>0</v>
      </c>
      <c r="N264" s="48">
        <v>0</v>
      </c>
      <c r="O264" s="48">
        <v>0</v>
      </c>
      <c r="P264" s="48">
        <v>0</v>
      </c>
      <c r="Q264" s="48">
        <v>0</v>
      </c>
      <c r="R264" s="48">
        <v>0</v>
      </c>
      <c r="S264" s="48">
        <v>0</v>
      </c>
      <c r="T264" s="48">
        <v>0</v>
      </c>
      <c r="U264" s="39">
        <v>0</v>
      </c>
      <c r="V264" s="39">
        <v>0</v>
      </c>
      <c r="W264" s="39">
        <v>0</v>
      </c>
      <c r="X264" s="39">
        <v>0</v>
      </c>
      <c r="Y264" s="50">
        <f>SUM(U264:X264)</f>
        <v>0</v>
      </c>
      <c r="Z264" s="39">
        <v>0</v>
      </c>
      <c r="AA264" s="39">
        <v>0</v>
      </c>
      <c r="AB264" s="39">
        <v>0</v>
      </c>
      <c r="AC264" s="39">
        <v>0</v>
      </c>
      <c r="AD264" s="50">
        <f>SUM(Z264:AC264)</f>
        <v>0</v>
      </c>
      <c r="AE264" s="39">
        <v>0</v>
      </c>
      <c r="AF264" s="39">
        <v>0</v>
      </c>
      <c r="AG264" s="39">
        <v>0</v>
      </c>
      <c r="AH264" s="39">
        <v>0</v>
      </c>
      <c r="AI264" s="50">
        <f>SUM(AE264:AH264)</f>
        <v>0</v>
      </c>
      <c r="AJ264" s="39">
        <v>0</v>
      </c>
      <c r="AK264" s="39">
        <v>0</v>
      </c>
      <c r="AL264" s="39">
        <v>0</v>
      </c>
      <c r="AM264" s="39">
        <v>0</v>
      </c>
      <c r="AN264" s="50">
        <f>SUM(AJ264:AM264)</f>
        <v>0</v>
      </c>
      <c r="AO264" s="39">
        <v>0</v>
      </c>
      <c r="AP264" s="39">
        <v>0</v>
      </c>
      <c r="AQ264" s="39">
        <v>0</v>
      </c>
      <c r="AR264" s="39">
        <v>0</v>
      </c>
      <c r="AS264" s="50">
        <f>SUM(AO264:AR264)</f>
        <v>0</v>
      </c>
      <c r="AT264" s="39">
        <v>0</v>
      </c>
      <c r="AU264" s="39">
        <v>0</v>
      </c>
      <c r="AV264" s="39">
        <v>0</v>
      </c>
      <c r="AW264" s="39">
        <v>0</v>
      </c>
      <c r="AX264" s="50">
        <f>SUM(AT264:AW264)</f>
        <v>0</v>
      </c>
      <c r="AY264" s="67">
        <f>AT264*1.05</f>
        <v>0</v>
      </c>
      <c r="AZ264" s="67">
        <f>AU264*1.05</f>
        <v>0</v>
      </c>
      <c r="BA264" s="67">
        <f>AV264*1.05</f>
        <v>0</v>
      </c>
      <c r="BB264" s="67">
        <f>AW264*1.05</f>
        <v>0</v>
      </c>
      <c r="BC264" s="50">
        <f>SUM(AY264:BB264)</f>
        <v>0</v>
      </c>
      <c r="BD264" s="67">
        <f>AY264*1.05</f>
        <v>0</v>
      </c>
      <c r="BE264" s="67">
        <f>AZ264*1.05</f>
        <v>0</v>
      </c>
      <c r="BF264" s="67">
        <f>BA264*1.05</f>
        <v>0</v>
      </c>
      <c r="BG264" s="67">
        <f>BB264*1.05</f>
        <v>0</v>
      </c>
      <c r="BH264" s="50">
        <f>SUM(BD264:BG264)</f>
        <v>0</v>
      </c>
      <c r="BI264" s="74">
        <f>AZ264*1.05</f>
        <v>0</v>
      </c>
      <c r="BJ264" s="74">
        <f>BA264*1.05</f>
        <v>0</v>
      </c>
      <c r="BK264" s="74">
        <f>BB264*1.05</f>
        <v>0</v>
      </c>
      <c r="BL264" s="74">
        <f>BC264*1.05</f>
        <v>0</v>
      </c>
    </row>
    <row r="265" spans="3:64" s="38" customFormat="1" ht="12.75" customHeight="1">
      <c r="C265" s="84" t="s">
        <v>60</v>
      </c>
      <c r="E265" s="48">
        <v>0</v>
      </c>
      <c r="F265" s="48">
        <v>0</v>
      </c>
      <c r="G265" s="48">
        <v>0</v>
      </c>
      <c r="H265" s="48">
        <v>0</v>
      </c>
      <c r="I265" s="48">
        <v>0</v>
      </c>
      <c r="J265" s="48">
        <v>0</v>
      </c>
      <c r="K265" s="48">
        <v>0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  <c r="Q265" s="48">
        <v>0</v>
      </c>
      <c r="R265" s="48">
        <v>0</v>
      </c>
      <c r="S265" s="48">
        <v>0</v>
      </c>
      <c r="T265" s="48">
        <v>0</v>
      </c>
      <c r="U265" s="39">
        <v>0</v>
      </c>
      <c r="V265" s="39">
        <v>0</v>
      </c>
      <c r="W265" s="39">
        <v>0</v>
      </c>
      <c r="X265" s="39">
        <v>0</v>
      </c>
      <c r="Y265" s="50">
        <f>SUM(U265:X265)</f>
        <v>0</v>
      </c>
      <c r="Z265" s="39">
        <v>0</v>
      </c>
      <c r="AA265" s="39">
        <v>0</v>
      </c>
      <c r="AB265" s="39">
        <v>0</v>
      </c>
      <c r="AC265" s="39">
        <v>0</v>
      </c>
      <c r="AD265" s="50">
        <f>SUM(Z265:AC265)</f>
        <v>0</v>
      </c>
      <c r="AE265" s="39">
        <v>0</v>
      </c>
      <c r="AF265" s="39">
        <v>0</v>
      </c>
      <c r="AG265" s="39">
        <v>0</v>
      </c>
      <c r="AH265" s="39">
        <v>0</v>
      </c>
      <c r="AI265" s="50">
        <f>SUM(AE265:AH265)</f>
        <v>0</v>
      </c>
      <c r="AJ265" s="39">
        <v>0</v>
      </c>
      <c r="AK265" s="39">
        <v>0</v>
      </c>
      <c r="AL265" s="39">
        <v>0</v>
      </c>
      <c r="AM265" s="39">
        <v>0</v>
      </c>
      <c r="AN265" s="50">
        <f>SUM(AJ265:AM265)</f>
        <v>0</v>
      </c>
      <c r="AO265" s="39">
        <v>0</v>
      </c>
      <c r="AP265" s="39">
        <v>0</v>
      </c>
      <c r="AQ265" s="39">
        <v>0</v>
      </c>
      <c r="AR265" s="39">
        <v>0</v>
      </c>
      <c r="AS265" s="50">
        <f>SUM(AO265:AR265)</f>
        <v>0</v>
      </c>
      <c r="AT265" s="39">
        <v>0</v>
      </c>
      <c r="AU265" s="39">
        <v>0</v>
      </c>
      <c r="AV265" s="39">
        <v>0</v>
      </c>
      <c r="AW265" s="39">
        <v>0</v>
      </c>
      <c r="AX265" s="50">
        <f>SUM(AT265:AW265)</f>
        <v>0</v>
      </c>
      <c r="AY265" s="67">
        <v>0</v>
      </c>
      <c r="AZ265" s="67">
        <v>0</v>
      </c>
      <c r="BA265" s="67">
        <v>0</v>
      </c>
      <c r="BB265" s="67">
        <v>0</v>
      </c>
      <c r="BC265" s="100">
        <f>SUM(AY265:BB265)</f>
        <v>0</v>
      </c>
      <c r="BD265" s="67">
        <v>0</v>
      </c>
      <c r="BE265" s="67">
        <v>0</v>
      </c>
      <c r="BF265" s="67">
        <v>0</v>
      </c>
      <c r="BG265" s="67">
        <v>0</v>
      </c>
      <c r="BH265" s="100">
        <f>SUM(BD265:BG265)</f>
        <v>0</v>
      </c>
      <c r="BI265" s="100">
        <v>0</v>
      </c>
      <c r="BJ265" s="100">
        <v>0</v>
      </c>
      <c r="BK265" s="100">
        <v>0</v>
      </c>
      <c r="BL265" s="100">
        <v>0</v>
      </c>
    </row>
    <row r="266" spans="3:64" s="41" customFormat="1" ht="12.75" customHeight="1">
      <c r="C266" s="41" t="s">
        <v>61</v>
      </c>
      <c r="E266" s="49">
        <f t="shared" ref="E266:Q266" si="1157">E259-E261-SUM(E264:E265)</f>
        <v>327</v>
      </c>
      <c r="F266" s="49">
        <f t="shared" si="1157"/>
        <v>327</v>
      </c>
      <c r="G266" s="49">
        <f t="shared" si="1157"/>
        <v>327</v>
      </c>
      <c r="H266" s="49">
        <f t="shared" si="1157"/>
        <v>327</v>
      </c>
      <c r="I266" s="49">
        <f t="shared" si="1157"/>
        <v>327</v>
      </c>
      <c r="J266" s="49">
        <f t="shared" si="1157"/>
        <v>327</v>
      </c>
      <c r="K266" s="49">
        <f t="shared" si="1157"/>
        <v>327</v>
      </c>
      <c r="L266" s="49">
        <f t="shared" si="1157"/>
        <v>327</v>
      </c>
      <c r="M266" s="49">
        <f t="shared" si="1157"/>
        <v>327</v>
      </c>
      <c r="N266" s="49">
        <f t="shared" si="1157"/>
        <v>327</v>
      </c>
      <c r="O266" s="49">
        <f t="shared" si="1157"/>
        <v>327</v>
      </c>
      <c r="P266" s="49">
        <f t="shared" si="1157"/>
        <v>327</v>
      </c>
      <c r="Q266" s="49">
        <f t="shared" si="1157"/>
        <v>327</v>
      </c>
      <c r="R266" s="49">
        <f>R259-R261-SUM(R264:R265)</f>
        <v>327</v>
      </c>
      <c r="S266" s="49">
        <f>S259-S261-SUM(S264:S265)</f>
        <v>-227</v>
      </c>
      <c r="T266" s="49">
        <f>T259-T261-SUM(T264:T265)</f>
        <v>-50</v>
      </c>
      <c r="U266" s="41">
        <f t="shared" ref="U266:Z266" si="1158">U259-U261-SUM(U264:U265)</f>
        <v>-357</v>
      </c>
      <c r="V266" s="41">
        <f t="shared" si="1158"/>
        <v>-852</v>
      </c>
      <c r="W266" s="41">
        <f t="shared" si="1158"/>
        <v>-223</v>
      </c>
      <c r="X266" s="41">
        <f t="shared" si="1158"/>
        <v>-290</v>
      </c>
      <c r="Y266" s="49">
        <f t="shared" si="1158"/>
        <v>-1722</v>
      </c>
      <c r="Z266" s="41">
        <f t="shared" si="1158"/>
        <v>189</v>
      </c>
      <c r="AA266" s="41">
        <f t="shared" ref="AA266:AC266" si="1159">AA259-AA261-SUM(AA264:AA265)</f>
        <v>-169</v>
      </c>
      <c r="AB266" s="41">
        <f t="shared" si="1159"/>
        <v>607</v>
      </c>
      <c r="AC266" s="41">
        <f t="shared" si="1159"/>
        <v>-261</v>
      </c>
      <c r="AD266" s="49">
        <f>AD259-AD261-SUM(AD264:AD265)</f>
        <v>366</v>
      </c>
      <c r="AE266" s="41">
        <f t="shared" ref="AE266" si="1160">AE259-AE261-SUM(AE264:AE265)</f>
        <v>426</v>
      </c>
      <c r="AF266" s="41">
        <f>AF259-AF261-SUM(AF264:AF265)</f>
        <v>940</v>
      </c>
      <c r="AG266" s="41">
        <f>AG259-AG261-SUM(AG264:AG265)</f>
        <v>577</v>
      </c>
      <c r="AH266" s="41">
        <f>AH259-AH261-SUM(AH264:AH265)</f>
        <v>116</v>
      </c>
      <c r="AI266" s="49">
        <f>AI259-AI261-SUM(AI264:AI265)</f>
        <v>2059</v>
      </c>
      <c r="AJ266" s="41">
        <f>AJ259-AJ261-SUM(AJ264:AJ265)</f>
        <v>196</v>
      </c>
      <c r="AK266" s="41">
        <f t="shared" ref="AK266:AM266" si="1161">AK259-AK261-SUM(AK264:AK265)</f>
        <v>139</v>
      </c>
      <c r="AL266" s="41">
        <f t="shared" si="1161"/>
        <v>629</v>
      </c>
      <c r="AM266" s="41">
        <f t="shared" si="1161"/>
        <v>-348</v>
      </c>
      <c r="AN266" s="49">
        <f>AN259-AN261-SUM(AN264:AN265)</f>
        <v>616</v>
      </c>
      <c r="AO266" s="41">
        <f t="shared" ref="AO266:BL266" si="1162">AO259-AO261-SUM(AO264:AO265)</f>
        <v>-186</v>
      </c>
      <c r="AP266" s="41">
        <f>AP259-AP261-SUM(AP264:AP265)</f>
        <v>-865</v>
      </c>
      <c r="AQ266" s="41">
        <f>AQ259-AQ261-SUM(AQ264:AQ265)</f>
        <v>-1332</v>
      </c>
      <c r="AR266" s="41">
        <f>AR259-AR261-SUM(AR264:AR265)</f>
        <v>-479</v>
      </c>
      <c r="AS266" s="49">
        <f>AS259-AS261-SUM(AS264:AS265)</f>
        <v>-2862</v>
      </c>
      <c r="AT266" s="41">
        <f>AT259-AT261-SUM(AT264:AT265)</f>
        <v>-443</v>
      </c>
      <c r="AU266" s="41">
        <f t="shared" ref="AU266:AW266" si="1163">AU259-AU261-SUM(AU264:AU265)</f>
        <v>-294</v>
      </c>
      <c r="AV266" s="41">
        <f t="shared" si="1163"/>
        <v>184</v>
      </c>
      <c r="AW266" s="41">
        <f t="shared" si="1163"/>
        <v>-194</v>
      </c>
      <c r="AX266" s="49">
        <f>AX259-AX261-SUM(AX264:AX265)</f>
        <v>-747</v>
      </c>
      <c r="AY266" s="41">
        <f t="shared" ca="1" si="1162"/>
        <v>-305.79434643052093</v>
      </c>
      <c r="AZ266" s="41">
        <f t="shared" ca="1" si="1162"/>
        <v>-49.547222796412115</v>
      </c>
      <c r="BA266" s="41">
        <f t="shared" ca="1" si="1162"/>
        <v>129.53513216090164</v>
      </c>
      <c r="BB266" s="41">
        <f t="shared" ca="1" si="1162"/>
        <v>-216.5887536599401</v>
      </c>
      <c r="BC266" s="49">
        <f t="shared" ca="1" si="1162"/>
        <v>-442.3951907259721</v>
      </c>
      <c r="BD266" s="41">
        <f t="shared" ref="BD266:BH266" ca="1" si="1164">BD259-BD261-SUM(BD264:BD265)</f>
        <v>-255.49185439726298</v>
      </c>
      <c r="BE266" s="41">
        <f t="shared" ca="1" si="1164"/>
        <v>6.568218336709748</v>
      </c>
      <c r="BF266" s="41">
        <f t="shared" ca="1" si="1164"/>
        <v>190.46131193822401</v>
      </c>
      <c r="BG266" s="41">
        <f t="shared" ca="1" si="1164"/>
        <v>-160.80247887353218</v>
      </c>
      <c r="BH266" s="49">
        <f t="shared" ca="1" si="1164"/>
        <v>-219.26480299586171</v>
      </c>
      <c r="BI266" s="49">
        <f t="shared" ca="1" si="1162"/>
        <v>92.675225505801393</v>
      </c>
      <c r="BJ266" s="49">
        <f t="shared" ca="1" si="1162"/>
        <v>418.89164752757597</v>
      </c>
      <c r="BK266" s="49">
        <f t="shared" ca="1" si="1162"/>
        <v>784.94251984322534</v>
      </c>
      <c r="BL266" s="49">
        <f t="shared" ca="1" si="1162"/>
        <v>1187.7018443122201</v>
      </c>
    </row>
    <row r="267" spans="3:64" s="41" customFormat="1" ht="12.75" customHeight="1"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8"/>
      <c r="V267" s="58"/>
      <c r="W267" s="58"/>
      <c r="X267" s="58"/>
      <c r="Y267" s="57"/>
      <c r="Z267" s="58"/>
      <c r="AA267" s="58"/>
      <c r="AB267" s="58"/>
      <c r="AC267" s="58"/>
      <c r="AD267" s="57"/>
      <c r="AE267" s="58"/>
      <c r="AF267" s="58"/>
      <c r="AG267" s="58"/>
      <c r="AH267" s="58"/>
      <c r="AI267" s="57"/>
      <c r="AJ267" s="58"/>
      <c r="AK267" s="58"/>
      <c r="AL267" s="58"/>
      <c r="AM267" s="58"/>
      <c r="AN267" s="57"/>
      <c r="AO267" s="58"/>
      <c r="AP267" s="58"/>
      <c r="AQ267" s="58"/>
      <c r="AR267" s="58"/>
      <c r="AS267" s="57"/>
      <c r="AT267" s="58"/>
      <c r="AU267" s="58"/>
      <c r="AV267" s="58"/>
      <c r="AW267" s="58"/>
      <c r="AX267" s="57"/>
      <c r="AY267" s="58"/>
      <c r="AZ267" s="58"/>
      <c r="BA267" s="58"/>
      <c r="BB267" s="58"/>
      <c r="BC267" s="57"/>
      <c r="BD267" s="58"/>
      <c r="BE267" s="58"/>
      <c r="BF267" s="58"/>
      <c r="BG267" s="58"/>
      <c r="BH267" s="57"/>
      <c r="BI267" s="57"/>
      <c r="BJ267" s="57"/>
      <c r="BK267" s="57"/>
      <c r="BL267" s="57"/>
    </row>
    <row r="268" spans="3:64" s="38" customFormat="1" ht="12.75" customHeight="1">
      <c r="C268" s="84" t="s">
        <v>64</v>
      </c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39"/>
      <c r="V268" s="39"/>
      <c r="W268" s="39"/>
      <c r="X268" s="39"/>
      <c r="Y268" s="50"/>
      <c r="Z268" s="39"/>
      <c r="AA268" s="39"/>
      <c r="AB268" s="39"/>
      <c r="AC268" s="39"/>
      <c r="AD268" s="50"/>
      <c r="AE268" s="39"/>
      <c r="AF268" s="39"/>
      <c r="AG268" s="39"/>
      <c r="AH268" s="39"/>
      <c r="AI268" s="50"/>
      <c r="AJ268" s="39"/>
      <c r="AK268" s="39"/>
      <c r="AL268" s="39"/>
      <c r="AM268" s="39"/>
      <c r="AN268" s="50"/>
      <c r="AO268" s="39"/>
      <c r="AP268" s="39"/>
      <c r="AQ268" s="39"/>
      <c r="AR268" s="39"/>
      <c r="AS268" s="50"/>
      <c r="AT268" s="39"/>
      <c r="AU268" s="39"/>
      <c r="AV268" s="39"/>
      <c r="AW268" s="39"/>
      <c r="AX268" s="50"/>
      <c r="BC268" s="50"/>
      <c r="BH268" s="50"/>
      <c r="BI268" s="50"/>
      <c r="BJ268" s="50"/>
      <c r="BK268" s="50"/>
      <c r="BL268" s="50"/>
    </row>
    <row r="269" spans="3:64" s="38" customFormat="1" ht="12.75" customHeight="1">
      <c r="C269" s="86" t="s">
        <v>259</v>
      </c>
      <c r="D269" s="43"/>
      <c r="E269" s="48">
        <v>20</v>
      </c>
      <c r="F269" s="48">
        <v>20</v>
      </c>
      <c r="G269" s="48">
        <v>20</v>
      </c>
      <c r="H269" s="48">
        <v>20</v>
      </c>
      <c r="I269" s="48">
        <v>20</v>
      </c>
      <c r="J269" s="48">
        <v>20</v>
      </c>
      <c r="K269" s="48">
        <v>20</v>
      </c>
      <c r="L269" s="48">
        <v>20</v>
      </c>
      <c r="M269" s="48">
        <v>20</v>
      </c>
      <c r="N269" s="48">
        <v>20</v>
      </c>
      <c r="O269" s="48">
        <v>20</v>
      </c>
      <c r="P269" s="48">
        <v>20</v>
      </c>
      <c r="Q269" s="48">
        <v>20</v>
      </c>
      <c r="R269" s="48">
        <v>20</v>
      </c>
      <c r="S269" s="48">
        <v>32</v>
      </c>
      <c r="T269" s="48">
        <v>14</v>
      </c>
      <c r="U269" s="39">
        <v>7</v>
      </c>
      <c r="V269" s="39">
        <v>41</v>
      </c>
      <c r="W269" s="39">
        <v>7</v>
      </c>
      <c r="X269" s="39">
        <v>10</v>
      </c>
      <c r="Y269" s="50">
        <f t="shared" ref="Y269:Y275" si="1165">SUM(U269:X269)</f>
        <v>65</v>
      </c>
      <c r="Z269" s="39">
        <v>18</v>
      </c>
      <c r="AA269" s="39">
        <v>37</v>
      </c>
      <c r="AB269" s="39">
        <v>22</v>
      </c>
      <c r="AC269" s="39">
        <v>4</v>
      </c>
      <c r="AD269" s="50">
        <f t="shared" ref="AD269:AD275" si="1166">SUM(Z269:AC269)</f>
        <v>81</v>
      </c>
      <c r="AE269" s="39">
        <v>6</v>
      </c>
      <c r="AF269" s="39">
        <v>15</v>
      </c>
      <c r="AG269" s="39">
        <v>8</v>
      </c>
      <c r="AH269" s="39">
        <v>16</v>
      </c>
      <c r="AI269" s="50">
        <f t="shared" ref="AI269:AI275" si="1167">SUM(AE269:AH269)</f>
        <v>45</v>
      </c>
      <c r="AJ269" s="39">
        <v>3</v>
      </c>
      <c r="AK269" s="39">
        <v>5</v>
      </c>
      <c r="AL269" s="39">
        <v>2</v>
      </c>
      <c r="AM269" s="39">
        <v>7</v>
      </c>
      <c r="AN269" s="50">
        <f t="shared" ref="AN269:AN275" si="1168">SUM(AJ269:AM269)</f>
        <v>17</v>
      </c>
      <c r="AO269" s="39">
        <v>32</v>
      </c>
      <c r="AP269" s="39">
        <v>12</v>
      </c>
      <c r="AQ269" s="39">
        <v>1</v>
      </c>
      <c r="AR269" s="39">
        <v>21</v>
      </c>
      <c r="AS269" s="50">
        <f t="shared" ref="AS269:AS275" si="1169">SUM(AO269:AR269)</f>
        <v>66</v>
      </c>
      <c r="AT269" s="39">
        <v>3</v>
      </c>
      <c r="AU269" s="39">
        <v>4</v>
      </c>
      <c r="AV269" s="39">
        <v>4</v>
      </c>
      <c r="AW269" s="39">
        <v>7</v>
      </c>
      <c r="AX269" s="50">
        <f t="shared" ref="AX269:AX275" si="1170">SUM(AT269:AW269)</f>
        <v>18</v>
      </c>
      <c r="AY269" s="67">
        <v>0</v>
      </c>
      <c r="AZ269" s="67">
        <v>0</v>
      </c>
      <c r="BA269" s="67">
        <v>0</v>
      </c>
      <c r="BB269" s="67">
        <v>0</v>
      </c>
      <c r="BC269" s="50">
        <f t="shared" ref="BC269:BC275" si="1171">SUM(AY269:BB269)</f>
        <v>0</v>
      </c>
      <c r="BD269" s="67">
        <v>0</v>
      </c>
      <c r="BE269" s="67">
        <v>0</v>
      </c>
      <c r="BF269" s="67">
        <v>0</v>
      </c>
      <c r="BG269" s="67">
        <v>0</v>
      </c>
      <c r="BH269" s="50">
        <f t="shared" ref="BH269:BH275" si="1172">SUM(BD269:BG269)</f>
        <v>0</v>
      </c>
      <c r="BI269" s="74">
        <v>0</v>
      </c>
      <c r="BJ269" s="74">
        <v>0</v>
      </c>
      <c r="BK269" s="74">
        <v>0</v>
      </c>
      <c r="BL269" s="74">
        <v>0</v>
      </c>
    </row>
    <row r="270" spans="3:64" s="38" customFormat="1" ht="12.75" customHeight="1">
      <c r="C270" s="86" t="s">
        <v>261</v>
      </c>
      <c r="D270" s="43"/>
      <c r="E270" s="48">
        <v>32</v>
      </c>
      <c r="F270" s="48">
        <v>32</v>
      </c>
      <c r="G270" s="48">
        <v>32</v>
      </c>
      <c r="H270" s="48">
        <v>32</v>
      </c>
      <c r="I270" s="48">
        <v>32</v>
      </c>
      <c r="J270" s="48">
        <v>32</v>
      </c>
      <c r="K270" s="48">
        <v>32</v>
      </c>
      <c r="L270" s="48">
        <v>32</v>
      </c>
      <c r="M270" s="48">
        <v>32</v>
      </c>
      <c r="N270" s="48">
        <v>32</v>
      </c>
      <c r="O270" s="48">
        <v>32</v>
      </c>
      <c r="P270" s="48">
        <v>32</v>
      </c>
      <c r="Q270" s="48">
        <v>32</v>
      </c>
      <c r="R270" s="48">
        <v>32</v>
      </c>
      <c r="S270" s="48">
        <v>36</v>
      </c>
      <c r="T270" s="48">
        <v>38</v>
      </c>
      <c r="U270" s="39">
        <v>9</v>
      </c>
      <c r="V270" s="39">
        <v>15</v>
      </c>
      <c r="W270" s="39">
        <v>13</v>
      </c>
      <c r="X270" s="39">
        <v>18</v>
      </c>
      <c r="Y270" s="50">
        <f t="shared" si="1165"/>
        <v>55</v>
      </c>
      <c r="Z270" s="39">
        <v>28</v>
      </c>
      <c r="AA270" s="39">
        <v>26</v>
      </c>
      <c r="AB270" s="39">
        <v>8</v>
      </c>
      <c r="AC270" s="39">
        <v>10</v>
      </c>
      <c r="AD270" s="50">
        <f t="shared" si="1166"/>
        <v>72</v>
      </c>
      <c r="AE270" s="39">
        <v>7</v>
      </c>
      <c r="AF270" s="39">
        <v>9</v>
      </c>
      <c r="AG270" s="39">
        <v>9</v>
      </c>
      <c r="AH270" s="39">
        <v>10</v>
      </c>
      <c r="AI270" s="50">
        <f t="shared" si="1167"/>
        <v>35</v>
      </c>
      <c r="AJ270" s="39">
        <v>10</v>
      </c>
      <c r="AK270" s="39">
        <v>10</v>
      </c>
      <c r="AL270" s="39">
        <v>11</v>
      </c>
      <c r="AM270" s="39">
        <v>11</v>
      </c>
      <c r="AN270" s="50">
        <f t="shared" si="1168"/>
        <v>42</v>
      </c>
      <c r="AO270" s="39">
        <v>12</v>
      </c>
      <c r="AP270" s="39">
        <v>10</v>
      </c>
      <c r="AQ270" s="39">
        <v>11</v>
      </c>
      <c r="AR270" s="39">
        <v>12</v>
      </c>
      <c r="AS270" s="50">
        <f t="shared" si="1169"/>
        <v>45</v>
      </c>
      <c r="AT270" s="39">
        <v>11</v>
      </c>
      <c r="AU270" s="39">
        <v>12</v>
      </c>
      <c r="AV270" s="39">
        <v>12</v>
      </c>
      <c r="AW270" s="39">
        <v>11</v>
      </c>
      <c r="AX270" s="50">
        <f t="shared" si="1170"/>
        <v>46</v>
      </c>
      <c r="AY270" s="67">
        <v>0</v>
      </c>
      <c r="AZ270" s="67">
        <v>0</v>
      </c>
      <c r="BA270" s="67">
        <v>0</v>
      </c>
      <c r="BB270" s="67">
        <v>0</v>
      </c>
      <c r="BC270" s="50">
        <f t="shared" ref="BC270:BC274" si="1173">SUM(AY270:BB270)</f>
        <v>0</v>
      </c>
      <c r="BD270" s="67">
        <v>0</v>
      </c>
      <c r="BE270" s="67">
        <v>0</v>
      </c>
      <c r="BF270" s="67">
        <v>0</v>
      </c>
      <c r="BG270" s="67">
        <v>0</v>
      </c>
      <c r="BH270" s="50">
        <f t="shared" ref="BH270:BH274" si="1174">SUM(BD270:BG270)</f>
        <v>0</v>
      </c>
      <c r="BI270" s="74">
        <v>0</v>
      </c>
      <c r="BJ270" s="74">
        <v>0</v>
      </c>
      <c r="BK270" s="74">
        <v>0</v>
      </c>
      <c r="BL270" s="74">
        <v>0</v>
      </c>
    </row>
    <row r="271" spans="3:64" s="38" customFormat="1" ht="12.75" customHeight="1">
      <c r="C271" s="86" t="s">
        <v>264</v>
      </c>
      <c r="D271" s="43"/>
      <c r="E271" s="48">
        <v>0</v>
      </c>
      <c r="F271" s="48">
        <v>0</v>
      </c>
      <c r="G271" s="48">
        <v>0</v>
      </c>
      <c r="H271" s="48">
        <v>0</v>
      </c>
      <c r="I271" s="48">
        <v>0</v>
      </c>
      <c r="J271" s="48">
        <v>0</v>
      </c>
      <c r="K271" s="48">
        <v>0</v>
      </c>
      <c r="L271" s="48">
        <v>0</v>
      </c>
      <c r="M271" s="48">
        <v>0</v>
      </c>
      <c r="N271" s="48">
        <v>0</v>
      </c>
      <c r="O271" s="48">
        <v>0</v>
      </c>
      <c r="P271" s="48">
        <v>0</v>
      </c>
      <c r="Q271" s="48">
        <v>0</v>
      </c>
      <c r="R271" s="48">
        <v>0</v>
      </c>
      <c r="S271" s="48">
        <v>0</v>
      </c>
      <c r="T271" s="48">
        <v>0</v>
      </c>
      <c r="U271" s="39">
        <f>-(U255-57)</f>
        <v>0</v>
      </c>
      <c r="V271" s="39">
        <f>-(V255-44)</f>
        <v>0</v>
      </c>
      <c r="W271" s="39">
        <f>-(W255-17)</f>
        <v>0</v>
      </c>
      <c r="X271" s="39">
        <f>-(X255-34)</f>
        <v>0</v>
      </c>
      <c r="Y271" s="50">
        <f t="shared" si="1165"/>
        <v>0</v>
      </c>
      <c r="Z271" s="39">
        <f>-(Z255-44-23)</f>
        <v>23</v>
      </c>
      <c r="AA271" s="39">
        <f>-(AA255-91-17)</f>
        <v>17</v>
      </c>
      <c r="AB271" s="39">
        <f>-(AB255-22-1)</f>
        <v>1</v>
      </c>
      <c r="AC271" s="39">
        <f>-(AC255-28+3)</f>
        <v>-3</v>
      </c>
      <c r="AD271" s="50">
        <f t="shared" si="1166"/>
        <v>38</v>
      </c>
      <c r="AE271" s="39">
        <f>-(AE255-39+44)</f>
        <v>-44</v>
      </c>
      <c r="AF271" s="39">
        <f>-(AF255-41+21)</f>
        <v>-21</v>
      </c>
      <c r="AG271" s="39">
        <f>-(AG255-43+55)</f>
        <v>-55</v>
      </c>
      <c r="AH271" s="39">
        <f>-(AH255-46-9)</f>
        <v>9</v>
      </c>
      <c r="AI271" s="50">
        <f t="shared" si="1167"/>
        <v>-111</v>
      </c>
      <c r="AJ271" s="39">
        <f>-(AJ255-51-108)</f>
        <v>108</v>
      </c>
      <c r="AK271" s="39">
        <f>-(AK255-56+2)</f>
        <v>-2</v>
      </c>
      <c r="AL271" s="39">
        <f>-(AL255-63-1)</f>
        <v>1</v>
      </c>
      <c r="AM271" s="39">
        <f>-(AM255-68-10)</f>
        <v>10</v>
      </c>
      <c r="AN271" s="50">
        <f t="shared" si="1168"/>
        <v>117</v>
      </c>
      <c r="AO271" s="39">
        <v>0</v>
      </c>
      <c r="AP271" s="39">
        <v>2</v>
      </c>
      <c r="AQ271" s="39">
        <f>-(AQ255-103+16)</f>
        <v>-2</v>
      </c>
      <c r="AR271" s="39">
        <f>-(AR255-109-15)</f>
        <v>7</v>
      </c>
      <c r="AS271" s="50">
        <f t="shared" si="1169"/>
        <v>7</v>
      </c>
      <c r="AT271" s="39">
        <v>-6</v>
      </c>
      <c r="AU271" s="39">
        <f>-(AU255-127-104)</f>
        <v>-1</v>
      </c>
      <c r="AV271" s="39">
        <f>-(AV255-123+33)</f>
        <v>4</v>
      </c>
      <c r="AW271" s="39">
        <f>-(AW255-127+108)</f>
        <v>-5</v>
      </c>
      <c r="AX271" s="50">
        <f t="shared" si="1170"/>
        <v>-8</v>
      </c>
      <c r="AY271" s="67">
        <v>0</v>
      </c>
      <c r="AZ271" s="67">
        <v>0</v>
      </c>
      <c r="BA271" s="67">
        <v>0</v>
      </c>
      <c r="BB271" s="67">
        <v>0</v>
      </c>
      <c r="BC271" s="50">
        <f t="shared" si="1173"/>
        <v>0</v>
      </c>
      <c r="BD271" s="67">
        <v>0</v>
      </c>
      <c r="BE271" s="67">
        <v>0</v>
      </c>
      <c r="BF271" s="67">
        <v>0</v>
      </c>
      <c r="BG271" s="67">
        <v>0</v>
      </c>
      <c r="BH271" s="50">
        <f t="shared" si="1174"/>
        <v>0</v>
      </c>
      <c r="BI271" s="74">
        <v>0</v>
      </c>
      <c r="BJ271" s="74">
        <v>0</v>
      </c>
      <c r="BK271" s="74">
        <v>0</v>
      </c>
      <c r="BL271" s="74">
        <v>0</v>
      </c>
    </row>
    <row r="272" spans="3:64" s="38" customFormat="1" ht="12.75" customHeight="1">
      <c r="C272" s="86" t="s">
        <v>265</v>
      </c>
      <c r="D272" s="43"/>
      <c r="E272" s="48">
        <v>0</v>
      </c>
      <c r="F272" s="48">
        <v>0</v>
      </c>
      <c r="G272" s="48">
        <v>0</v>
      </c>
      <c r="H272" s="48">
        <v>0</v>
      </c>
      <c r="I272" s="48">
        <v>0</v>
      </c>
      <c r="J272" s="48">
        <v>0</v>
      </c>
      <c r="K272" s="48">
        <v>0</v>
      </c>
      <c r="L272" s="48">
        <v>0</v>
      </c>
      <c r="M272" s="48">
        <v>0</v>
      </c>
      <c r="N272" s="48">
        <v>0</v>
      </c>
      <c r="O272" s="48">
        <v>0</v>
      </c>
      <c r="P272" s="48">
        <v>0</v>
      </c>
      <c r="Q272" s="48">
        <v>0</v>
      </c>
      <c r="R272" s="48">
        <v>0</v>
      </c>
      <c r="S272" s="48">
        <v>0</v>
      </c>
      <c r="T272" s="48">
        <v>0</v>
      </c>
      <c r="U272" s="39">
        <v>0</v>
      </c>
      <c r="V272" s="39">
        <v>0</v>
      </c>
      <c r="W272" s="39">
        <v>0</v>
      </c>
      <c r="X272" s="39">
        <v>0</v>
      </c>
      <c r="Y272" s="50">
        <f t="shared" si="1165"/>
        <v>0</v>
      </c>
      <c r="Z272" s="39">
        <v>0</v>
      </c>
      <c r="AA272" s="39">
        <v>0</v>
      </c>
      <c r="AB272" s="39">
        <v>0</v>
      </c>
      <c r="AC272" s="39">
        <v>0</v>
      </c>
      <c r="AD272" s="50">
        <f t="shared" si="1166"/>
        <v>0</v>
      </c>
      <c r="AE272" s="39">
        <v>0</v>
      </c>
      <c r="AF272" s="39">
        <v>0</v>
      </c>
      <c r="AG272" s="39">
        <v>0</v>
      </c>
      <c r="AH272" s="39">
        <v>0</v>
      </c>
      <c r="AI272" s="50">
        <f t="shared" si="1167"/>
        <v>0</v>
      </c>
      <c r="AJ272" s="39">
        <v>0</v>
      </c>
      <c r="AK272" s="39">
        <v>0</v>
      </c>
      <c r="AL272" s="39">
        <v>0</v>
      </c>
      <c r="AM272" s="39">
        <v>0</v>
      </c>
      <c r="AN272" s="50">
        <f t="shared" si="1168"/>
        <v>0</v>
      </c>
      <c r="AO272" s="39">
        <v>6</v>
      </c>
      <c r="AP272" s="39">
        <v>0</v>
      </c>
      <c r="AQ272" s="39">
        <v>0</v>
      </c>
      <c r="AR272" s="39">
        <v>0</v>
      </c>
      <c r="AS272" s="50">
        <f t="shared" si="1169"/>
        <v>6</v>
      </c>
      <c r="AT272" s="39">
        <v>0</v>
      </c>
      <c r="AU272" s="39">
        <v>0</v>
      </c>
      <c r="AV272" s="39">
        <v>0</v>
      </c>
      <c r="AW272" s="39">
        <v>0</v>
      </c>
      <c r="AX272" s="50">
        <f t="shared" si="1170"/>
        <v>0</v>
      </c>
      <c r="AY272" s="67">
        <v>0</v>
      </c>
      <c r="AZ272" s="67">
        <v>0</v>
      </c>
      <c r="BA272" s="67">
        <v>0</v>
      </c>
      <c r="BB272" s="67">
        <v>0</v>
      </c>
      <c r="BC272" s="50">
        <f t="shared" si="1173"/>
        <v>0</v>
      </c>
      <c r="BD272" s="67">
        <v>0</v>
      </c>
      <c r="BE272" s="67">
        <v>0</v>
      </c>
      <c r="BF272" s="67">
        <v>0</v>
      </c>
      <c r="BG272" s="67">
        <v>0</v>
      </c>
      <c r="BH272" s="50">
        <f t="shared" si="1174"/>
        <v>0</v>
      </c>
      <c r="BI272" s="74">
        <v>0</v>
      </c>
      <c r="BJ272" s="74">
        <v>0</v>
      </c>
      <c r="BK272" s="74">
        <v>0</v>
      </c>
      <c r="BL272" s="74">
        <v>0</v>
      </c>
    </row>
    <row r="273" spans="3:64" s="38" customFormat="1" ht="12.75" customHeight="1">
      <c r="C273" s="86" t="s">
        <v>260</v>
      </c>
      <c r="D273" s="43"/>
      <c r="E273" s="48">
        <f t="shared" ref="E273:Q273" si="1175">68+58+32</f>
        <v>158</v>
      </c>
      <c r="F273" s="48">
        <f t="shared" si="1175"/>
        <v>158</v>
      </c>
      <c r="G273" s="48">
        <f t="shared" si="1175"/>
        <v>158</v>
      </c>
      <c r="H273" s="48">
        <f t="shared" si="1175"/>
        <v>158</v>
      </c>
      <c r="I273" s="48">
        <f t="shared" si="1175"/>
        <v>158</v>
      </c>
      <c r="J273" s="48">
        <f t="shared" si="1175"/>
        <v>158</v>
      </c>
      <c r="K273" s="48">
        <f t="shared" si="1175"/>
        <v>158</v>
      </c>
      <c r="L273" s="48">
        <f t="shared" si="1175"/>
        <v>158</v>
      </c>
      <c r="M273" s="48">
        <f t="shared" si="1175"/>
        <v>158</v>
      </c>
      <c r="N273" s="48">
        <f t="shared" si="1175"/>
        <v>158</v>
      </c>
      <c r="O273" s="48">
        <f t="shared" si="1175"/>
        <v>158</v>
      </c>
      <c r="P273" s="48">
        <f t="shared" si="1175"/>
        <v>158</v>
      </c>
      <c r="Q273" s="48">
        <f t="shared" si="1175"/>
        <v>158</v>
      </c>
      <c r="R273" s="48">
        <f>68+58+32</f>
        <v>158</v>
      </c>
      <c r="S273" s="48">
        <f>98-9+22</f>
        <v>111</v>
      </c>
      <c r="T273" s="48">
        <f>114-36</f>
        <v>78</v>
      </c>
      <c r="U273" s="39">
        <f>17-26</f>
        <v>-9</v>
      </c>
      <c r="V273" s="39">
        <f>8+45+26</f>
        <v>79</v>
      </c>
      <c r="W273" s="39">
        <f>8+44+7</f>
        <v>59</v>
      </c>
      <c r="X273" s="39">
        <f>8+20+5</f>
        <v>33</v>
      </c>
      <c r="Y273" s="50">
        <f t="shared" si="1165"/>
        <v>162</v>
      </c>
      <c r="Z273" s="39">
        <f>-84</f>
        <v>-84</v>
      </c>
      <c r="AA273" s="39">
        <v>7</v>
      </c>
      <c r="AB273" s="39">
        <v>10</v>
      </c>
      <c r="AC273" s="39">
        <v>38</v>
      </c>
      <c r="AD273" s="50">
        <f t="shared" si="1166"/>
        <v>-29</v>
      </c>
      <c r="AE273" s="39">
        <v>67</v>
      </c>
      <c r="AF273" s="39">
        <v>26</v>
      </c>
      <c r="AG273" s="39">
        <v>3</v>
      </c>
      <c r="AH273" s="39">
        <f>16+168</f>
        <v>184</v>
      </c>
      <c r="AI273" s="50">
        <f t="shared" si="1167"/>
        <v>280</v>
      </c>
      <c r="AJ273" s="39">
        <v>12</v>
      </c>
      <c r="AK273" s="39">
        <v>-12</v>
      </c>
      <c r="AL273" s="39">
        <v>18</v>
      </c>
      <c r="AM273" s="39">
        <v>19</v>
      </c>
      <c r="AN273" s="50">
        <f t="shared" si="1168"/>
        <v>37</v>
      </c>
      <c r="AO273" s="39">
        <v>7</v>
      </c>
      <c r="AP273" s="39">
        <v>25</v>
      </c>
      <c r="AQ273" s="39">
        <v>15</v>
      </c>
      <c r="AR273" s="39">
        <v>16</v>
      </c>
      <c r="AS273" s="50">
        <f t="shared" si="1169"/>
        <v>63</v>
      </c>
      <c r="AT273" s="39">
        <v>26</v>
      </c>
      <c r="AU273" s="39">
        <v>15</v>
      </c>
      <c r="AV273" s="39">
        <v>4</v>
      </c>
      <c r="AW273" s="39">
        <v>42</v>
      </c>
      <c r="AX273" s="50">
        <f t="shared" si="1170"/>
        <v>87</v>
      </c>
      <c r="AY273" s="67">
        <v>0</v>
      </c>
      <c r="AZ273" s="67">
        <v>0</v>
      </c>
      <c r="BA273" s="67">
        <v>0</v>
      </c>
      <c r="BB273" s="67">
        <v>0</v>
      </c>
      <c r="BC273" s="50">
        <f t="shared" si="1173"/>
        <v>0</v>
      </c>
      <c r="BD273" s="67">
        <v>0</v>
      </c>
      <c r="BE273" s="67">
        <v>0</v>
      </c>
      <c r="BF273" s="67">
        <v>0</v>
      </c>
      <c r="BG273" s="67">
        <v>0</v>
      </c>
      <c r="BH273" s="50">
        <f t="shared" si="1174"/>
        <v>0</v>
      </c>
      <c r="BI273" s="74">
        <v>0</v>
      </c>
      <c r="BJ273" s="74">
        <v>0</v>
      </c>
      <c r="BK273" s="74">
        <v>0</v>
      </c>
      <c r="BL273" s="74">
        <v>0</v>
      </c>
    </row>
    <row r="274" spans="3:64" s="84" customFormat="1" ht="12.75" customHeight="1">
      <c r="C274" s="86" t="s">
        <v>266</v>
      </c>
      <c r="D274" s="86"/>
      <c r="E274" s="83">
        <f t="shared" ref="E274:Q274" si="1176">-E256</f>
        <v>-19</v>
      </c>
      <c r="F274" s="83">
        <f t="shared" si="1176"/>
        <v>-19</v>
      </c>
      <c r="G274" s="83">
        <f t="shared" si="1176"/>
        <v>-19</v>
      </c>
      <c r="H274" s="83">
        <f t="shared" si="1176"/>
        <v>-19</v>
      </c>
      <c r="I274" s="83">
        <f t="shared" si="1176"/>
        <v>-19</v>
      </c>
      <c r="J274" s="83">
        <f t="shared" si="1176"/>
        <v>-19</v>
      </c>
      <c r="K274" s="83">
        <f t="shared" si="1176"/>
        <v>-19</v>
      </c>
      <c r="L274" s="83">
        <f t="shared" si="1176"/>
        <v>-19</v>
      </c>
      <c r="M274" s="83">
        <f t="shared" si="1176"/>
        <v>-19</v>
      </c>
      <c r="N274" s="83">
        <f t="shared" si="1176"/>
        <v>-19</v>
      </c>
      <c r="O274" s="83">
        <f t="shared" si="1176"/>
        <v>-19</v>
      </c>
      <c r="P274" s="83">
        <f t="shared" si="1176"/>
        <v>-19</v>
      </c>
      <c r="Q274" s="83">
        <f t="shared" si="1176"/>
        <v>-19</v>
      </c>
      <c r="R274" s="83">
        <f t="shared" ref="R274:X274" si="1177">-R256</f>
        <v>-19</v>
      </c>
      <c r="S274" s="83">
        <f t="shared" si="1177"/>
        <v>40</v>
      </c>
      <c r="T274" s="83">
        <f t="shared" si="1177"/>
        <v>59</v>
      </c>
      <c r="U274" s="82">
        <f t="shared" si="1177"/>
        <v>17</v>
      </c>
      <c r="V274" s="82">
        <f t="shared" si="1177"/>
        <v>-2</v>
      </c>
      <c r="W274" s="82">
        <f t="shared" si="1177"/>
        <v>0</v>
      </c>
      <c r="X274" s="82">
        <f t="shared" si="1177"/>
        <v>-6</v>
      </c>
      <c r="Y274" s="98">
        <f t="shared" si="1165"/>
        <v>9</v>
      </c>
      <c r="Z274" s="82">
        <f>-Z256</f>
        <v>3</v>
      </c>
      <c r="AA274" s="82">
        <f t="shared" ref="AA274:AC274" si="1178">-AA256</f>
        <v>10</v>
      </c>
      <c r="AB274" s="82">
        <f t="shared" si="1178"/>
        <v>7</v>
      </c>
      <c r="AC274" s="82">
        <f t="shared" si="1178"/>
        <v>1</v>
      </c>
      <c r="AD274" s="98">
        <f t="shared" si="1166"/>
        <v>21</v>
      </c>
      <c r="AE274" s="82">
        <f>-AE256</f>
        <v>2</v>
      </c>
      <c r="AF274" s="82">
        <f>-AF256</f>
        <v>-2</v>
      </c>
      <c r="AG274" s="82">
        <f>-AG256</f>
        <v>6</v>
      </c>
      <c r="AH274" s="82">
        <f>-AH256</f>
        <v>-8</v>
      </c>
      <c r="AI274" s="98">
        <f t="shared" si="1167"/>
        <v>-2</v>
      </c>
      <c r="AJ274" s="82">
        <f>-AJ256</f>
        <v>-9</v>
      </c>
      <c r="AK274" s="82">
        <f t="shared" ref="AK274:AM274" si="1179">-AK256</f>
        <v>2</v>
      </c>
      <c r="AL274" s="82">
        <f t="shared" si="1179"/>
        <v>-5</v>
      </c>
      <c r="AM274" s="82">
        <f t="shared" si="1179"/>
        <v>0</v>
      </c>
      <c r="AN274" s="98">
        <f t="shared" si="1168"/>
        <v>-12</v>
      </c>
      <c r="AO274" s="82">
        <f>-AO256</f>
        <v>-2</v>
      </c>
      <c r="AP274" s="82">
        <f>-AP256</f>
        <v>5</v>
      </c>
      <c r="AQ274" s="82">
        <f>-AQ256</f>
        <v>-5</v>
      </c>
      <c r="AR274" s="82">
        <f>-AR256</f>
        <v>-2</v>
      </c>
      <c r="AS274" s="98">
        <f t="shared" si="1169"/>
        <v>-4</v>
      </c>
      <c r="AT274" s="82">
        <f>-AT256</f>
        <v>-4</v>
      </c>
      <c r="AU274" s="82">
        <f t="shared" ref="AU274:AW274" si="1180">-AU256</f>
        <v>-7</v>
      </c>
      <c r="AV274" s="82">
        <f t="shared" si="1180"/>
        <v>1</v>
      </c>
      <c r="AW274" s="82">
        <f t="shared" si="1180"/>
        <v>5</v>
      </c>
      <c r="AX274" s="98">
        <f t="shared" si="1170"/>
        <v>-5</v>
      </c>
      <c r="AY274" s="67">
        <v>0</v>
      </c>
      <c r="AZ274" s="67">
        <v>0</v>
      </c>
      <c r="BA274" s="67">
        <v>0</v>
      </c>
      <c r="BB274" s="67">
        <v>0</v>
      </c>
      <c r="BC274" s="50">
        <f t="shared" si="1173"/>
        <v>0</v>
      </c>
      <c r="BD274" s="67">
        <v>0</v>
      </c>
      <c r="BE274" s="67">
        <v>0</v>
      </c>
      <c r="BF274" s="67">
        <v>0</v>
      </c>
      <c r="BG274" s="67">
        <v>0</v>
      </c>
      <c r="BH274" s="50">
        <f t="shared" si="1174"/>
        <v>0</v>
      </c>
      <c r="BI274" s="74">
        <v>0</v>
      </c>
      <c r="BJ274" s="74">
        <v>0</v>
      </c>
      <c r="BK274" s="74">
        <v>0</v>
      </c>
      <c r="BL274" s="74">
        <v>0</v>
      </c>
    </row>
    <row r="275" spans="3:64" s="41" customFormat="1" ht="12.75" customHeight="1">
      <c r="C275" s="86" t="s">
        <v>72</v>
      </c>
      <c r="E275" s="69">
        <v>0</v>
      </c>
      <c r="F275" s="69">
        <v>0</v>
      </c>
      <c r="G275" s="69">
        <v>0</v>
      </c>
      <c r="H275" s="69">
        <v>0</v>
      </c>
      <c r="I275" s="69">
        <v>0</v>
      </c>
      <c r="J275" s="69">
        <v>0</v>
      </c>
      <c r="K275" s="69">
        <v>0</v>
      </c>
      <c r="L275" s="69">
        <v>0</v>
      </c>
      <c r="M275" s="69">
        <v>0</v>
      </c>
      <c r="N275" s="69">
        <v>0</v>
      </c>
      <c r="O275" s="69">
        <v>0</v>
      </c>
      <c r="P275" s="69">
        <v>0</v>
      </c>
      <c r="Q275" s="69">
        <v>0</v>
      </c>
      <c r="R275" s="69">
        <v>0</v>
      </c>
      <c r="S275" s="69">
        <v>0</v>
      </c>
      <c r="T275" s="69">
        <v>0</v>
      </c>
      <c r="U275" s="70">
        <v>0</v>
      </c>
      <c r="V275" s="70">
        <v>0</v>
      </c>
      <c r="W275" s="70">
        <v>0</v>
      </c>
      <c r="X275" s="70">
        <v>0</v>
      </c>
      <c r="Y275" s="79">
        <f t="shared" si="1165"/>
        <v>0</v>
      </c>
      <c r="Z275" s="70">
        <v>0</v>
      </c>
      <c r="AA275" s="70">
        <v>0</v>
      </c>
      <c r="AB275" s="70">
        <v>0</v>
      </c>
      <c r="AC275" s="70">
        <v>0</v>
      </c>
      <c r="AD275" s="79">
        <f t="shared" si="1166"/>
        <v>0</v>
      </c>
      <c r="AE275" s="70">
        <v>0</v>
      </c>
      <c r="AF275" s="70">
        <v>0</v>
      </c>
      <c r="AG275" s="70">
        <v>0</v>
      </c>
      <c r="AH275" s="70">
        <v>0</v>
      </c>
      <c r="AI275" s="79">
        <f t="shared" si="1167"/>
        <v>0</v>
      </c>
      <c r="AJ275" s="70">
        <v>0</v>
      </c>
      <c r="AK275" s="70">
        <v>0</v>
      </c>
      <c r="AL275" s="70">
        <v>0</v>
      </c>
      <c r="AM275" s="70">
        <v>0</v>
      </c>
      <c r="AN275" s="79">
        <f t="shared" si="1168"/>
        <v>0</v>
      </c>
      <c r="AO275" s="70">
        <v>-64</v>
      </c>
      <c r="AP275" s="70">
        <v>0</v>
      </c>
      <c r="AQ275" s="70">
        <v>0</v>
      </c>
      <c r="AR275" s="70">
        <v>0</v>
      </c>
      <c r="AS275" s="79">
        <f t="shared" si="1169"/>
        <v>-64</v>
      </c>
      <c r="AT275" s="70">
        <v>0</v>
      </c>
      <c r="AU275" s="70">
        <v>0</v>
      </c>
      <c r="AV275" s="70">
        <v>0</v>
      </c>
      <c r="AW275" s="70">
        <v>0</v>
      </c>
      <c r="AX275" s="79">
        <f t="shared" si="1170"/>
        <v>0</v>
      </c>
      <c r="AY275" s="64">
        <v>0</v>
      </c>
      <c r="AZ275" s="64">
        <v>0</v>
      </c>
      <c r="BA275" s="64">
        <v>0</v>
      </c>
      <c r="BB275" s="64">
        <v>0</v>
      </c>
      <c r="BC275" s="79">
        <f t="shared" si="1171"/>
        <v>0</v>
      </c>
      <c r="BD275" s="64">
        <v>0</v>
      </c>
      <c r="BE275" s="64">
        <v>0</v>
      </c>
      <c r="BF275" s="64">
        <v>0</v>
      </c>
      <c r="BG275" s="64">
        <v>0</v>
      </c>
      <c r="BH275" s="79">
        <f t="shared" si="1172"/>
        <v>0</v>
      </c>
      <c r="BI275" s="72">
        <f t="shared" ref="BI275:BL275" si="1181">BH275</f>
        <v>0</v>
      </c>
      <c r="BJ275" s="72">
        <f t="shared" si="1181"/>
        <v>0</v>
      </c>
      <c r="BK275" s="72">
        <f t="shared" si="1181"/>
        <v>0</v>
      </c>
      <c r="BL275" s="72">
        <f t="shared" si="1181"/>
        <v>0</v>
      </c>
    </row>
    <row r="276" spans="3:64" s="84" customFormat="1" ht="12.75" customHeight="1">
      <c r="C276" s="86" t="s">
        <v>65</v>
      </c>
      <c r="D276" s="86"/>
      <c r="E276" s="83">
        <f t="shared" ref="E276:Q276" si="1182">SUM(E269:E275)</f>
        <v>191</v>
      </c>
      <c r="F276" s="83">
        <f t="shared" si="1182"/>
        <v>191</v>
      </c>
      <c r="G276" s="83">
        <f t="shared" si="1182"/>
        <v>191</v>
      </c>
      <c r="H276" s="83">
        <f t="shared" si="1182"/>
        <v>191</v>
      </c>
      <c r="I276" s="83">
        <f t="shared" si="1182"/>
        <v>191</v>
      </c>
      <c r="J276" s="83">
        <f t="shared" si="1182"/>
        <v>191</v>
      </c>
      <c r="K276" s="83">
        <f t="shared" si="1182"/>
        <v>191</v>
      </c>
      <c r="L276" s="83">
        <f t="shared" si="1182"/>
        <v>191</v>
      </c>
      <c r="M276" s="83">
        <f t="shared" si="1182"/>
        <v>191</v>
      </c>
      <c r="N276" s="83">
        <f t="shared" si="1182"/>
        <v>191</v>
      </c>
      <c r="O276" s="83">
        <f t="shared" si="1182"/>
        <v>191</v>
      </c>
      <c r="P276" s="83">
        <f t="shared" si="1182"/>
        <v>191</v>
      </c>
      <c r="Q276" s="83">
        <f t="shared" si="1182"/>
        <v>191</v>
      </c>
      <c r="R276" s="83">
        <f t="shared" ref="R276" si="1183">SUM(R269:R275)</f>
        <v>191</v>
      </c>
      <c r="S276" s="83">
        <f t="shared" ref="S276" si="1184">SUM(S269:S275)</f>
        <v>219</v>
      </c>
      <c r="T276" s="83">
        <f t="shared" ref="T276" si="1185">SUM(T269:T275)</f>
        <v>189</v>
      </c>
      <c r="U276" s="82">
        <f t="shared" ref="U276" si="1186">SUM(U269:U275)</f>
        <v>24</v>
      </c>
      <c r="V276" s="82">
        <f t="shared" ref="V276" si="1187">SUM(V269:V275)</f>
        <v>133</v>
      </c>
      <c r="W276" s="82">
        <f t="shared" ref="W276" si="1188">SUM(W269:W275)</f>
        <v>79</v>
      </c>
      <c r="X276" s="82">
        <f t="shared" ref="X276" si="1189">SUM(X269:X275)</f>
        <v>55</v>
      </c>
      <c r="Y276" s="100">
        <f t="shared" ref="Y276" si="1190">SUM(Y269:Y275)</f>
        <v>291</v>
      </c>
      <c r="Z276" s="82">
        <f t="shared" ref="Z276" si="1191">SUM(Z269:Z275)</f>
        <v>-12</v>
      </c>
      <c r="AA276" s="82">
        <f t="shared" ref="AA276:AC276" si="1192">SUM(AA269:AA275)</f>
        <v>97</v>
      </c>
      <c r="AB276" s="82">
        <f t="shared" si="1192"/>
        <v>48</v>
      </c>
      <c r="AC276" s="82">
        <f t="shared" si="1192"/>
        <v>50</v>
      </c>
      <c r="AD276" s="100">
        <f t="shared" ref="AD276" si="1193">SUM(AD269:AD275)</f>
        <v>183</v>
      </c>
      <c r="AE276" s="82">
        <f t="shared" ref="AE276" si="1194">SUM(AE269:AE275)</f>
        <v>38</v>
      </c>
      <c r="AF276" s="82">
        <f t="shared" ref="AF276" si="1195">SUM(AF269:AF275)</f>
        <v>27</v>
      </c>
      <c r="AG276" s="82">
        <f t="shared" ref="AG276" si="1196">SUM(AG269:AG275)</f>
        <v>-29</v>
      </c>
      <c r="AH276" s="82">
        <f t="shared" ref="AH276" si="1197">SUM(AH269:AH275)</f>
        <v>211</v>
      </c>
      <c r="AI276" s="100">
        <f t="shared" ref="AI276" si="1198">SUM(AI269:AI275)</f>
        <v>247</v>
      </c>
      <c r="AJ276" s="82">
        <f t="shared" ref="AJ276" si="1199">SUM(AJ269:AJ275)</f>
        <v>124</v>
      </c>
      <c r="AK276" s="82">
        <f t="shared" ref="AK276:AM276" si="1200">SUM(AK269:AK275)</f>
        <v>3</v>
      </c>
      <c r="AL276" s="82">
        <f t="shared" si="1200"/>
        <v>27</v>
      </c>
      <c r="AM276" s="82">
        <f t="shared" si="1200"/>
        <v>47</v>
      </c>
      <c r="AN276" s="100">
        <f t="shared" ref="AN276" si="1201">SUM(AN269:AN275)</f>
        <v>201</v>
      </c>
      <c r="AO276" s="82">
        <f t="shared" ref="AO276:AT276" si="1202">SUM(AO269:AO275)</f>
        <v>-9</v>
      </c>
      <c r="AP276" s="82">
        <f t="shared" si="1202"/>
        <v>54</v>
      </c>
      <c r="AQ276" s="82">
        <f t="shared" si="1202"/>
        <v>20</v>
      </c>
      <c r="AR276" s="82">
        <f t="shared" si="1202"/>
        <v>54</v>
      </c>
      <c r="AS276" s="100">
        <f t="shared" ref="AS276" si="1203">SUM(AS269:AS275)</f>
        <v>119</v>
      </c>
      <c r="AT276" s="82">
        <f t="shared" si="1202"/>
        <v>30</v>
      </c>
      <c r="AU276" s="82">
        <f t="shared" ref="AU276:AW276" si="1204">SUM(AU269:AU275)</f>
        <v>23</v>
      </c>
      <c r="AV276" s="82">
        <f t="shared" si="1204"/>
        <v>25</v>
      </c>
      <c r="AW276" s="82">
        <f t="shared" si="1204"/>
        <v>60</v>
      </c>
      <c r="AX276" s="100">
        <f t="shared" ref="AX276:BL276" si="1205">SUM(AX269:AX275)</f>
        <v>138</v>
      </c>
      <c r="AY276" s="82">
        <f t="shared" si="1205"/>
        <v>0</v>
      </c>
      <c r="AZ276" s="82">
        <f t="shared" si="1205"/>
        <v>0</v>
      </c>
      <c r="BA276" s="82">
        <f t="shared" si="1205"/>
        <v>0</v>
      </c>
      <c r="BB276" s="82">
        <f t="shared" si="1205"/>
        <v>0</v>
      </c>
      <c r="BC276" s="100">
        <f t="shared" si="1205"/>
        <v>0</v>
      </c>
      <c r="BD276" s="82">
        <f t="shared" ref="BD276:BH276" si="1206">SUM(BD269:BD275)</f>
        <v>0</v>
      </c>
      <c r="BE276" s="82">
        <f t="shared" si="1206"/>
        <v>0</v>
      </c>
      <c r="BF276" s="82">
        <f t="shared" si="1206"/>
        <v>0</v>
      </c>
      <c r="BG276" s="82">
        <f t="shared" si="1206"/>
        <v>0</v>
      </c>
      <c r="BH276" s="100">
        <f t="shared" si="1206"/>
        <v>0</v>
      </c>
      <c r="BI276" s="100">
        <f t="shared" si="1205"/>
        <v>0</v>
      </c>
      <c r="BJ276" s="100">
        <f t="shared" si="1205"/>
        <v>0</v>
      </c>
      <c r="BK276" s="100">
        <f t="shared" si="1205"/>
        <v>0</v>
      </c>
      <c r="BL276" s="100">
        <f t="shared" si="1205"/>
        <v>0</v>
      </c>
    </row>
    <row r="277" spans="3:64" s="18" customFormat="1" ht="12.75" customHeight="1">
      <c r="C277" s="59"/>
      <c r="D277" s="59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Y277" s="53"/>
      <c r="AD277" s="53"/>
      <c r="AI277" s="53"/>
      <c r="AN277" s="53"/>
      <c r="AS277" s="53"/>
      <c r="AX277" s="53"/>
      <c r="BC277" s="53"/>
      <c r="BH277" s="53"/>
      <c r="BI277" s="53"/>
      <c r="BJ277" s="53"/>
      <c r="BK277" s="53"/>
      <c r="BL277" s="53"/>
    </row>
    <row r="278" spans="3:64" s="41" customFormat="1" ht="12.75" customHeight="1">
      <c r="C278" s="41" t="s">
        <v>82</v>
      </c>
      <c r="E278" s="49">
        <f t="shared" ref="E278:Q278" si="1207">E282-E243</f>
        <v>27</v>
      </c>
      <c r="F278" s="49">
        <f t="shared" si="1207"/>
        <v>27</v>
      </c>
      <c r="G278" s="49">
        <f t="shared" si="1207"/>
        <v>27</v>
      </c>
      <c r="H278" s="49">
        <f t="shared" si="1207"/>
        <v>27</v>
      </c>
      <c r="I278" s="49">
        <f t="shared" si="1207"/>
        <v>27</v>
      </c>
      <c r="J278" s="49">
        <f t="shared" si="1207"/>
        <v>27</v>
      </c>
      <c r="K278" s="49">
        <f t="shared" si="1207"/>
        <v>27</v>
      </c>
      <c r="L278" s="49">
        <f t="shared" si="1207"/>
        <v>27</v>
      </c>
      <c r="M278" s="49">
        <f t="shared" si="1207"/>
        <v>27</v>
      </c>
      <c r="N278" s="49">
        <f t="shared" si="1207"/>
        <v>27</v>
      </c>
      <c r="O278" s="49">
        <f t="shared" si="1207"/>
        <v>27</v>
      </c>
      <c r="P278" s="49">
        <f t="shared" si="1207"/>
        <v>27</v>
      </c>
      <c r="Q278" s="49">
        <f t="shared" si="1207"/>
        <v>27</v>
      </c>
      <c r="R278" s="49">
        <f t="shared" ref="R278:BL278" si="1208">R282-R243</f>
        <v>27</v>
      </c>
      <c r="S278" s="49">
        <f t="shared" si="1208"/>
        <v>213</v>
      </c>
      <c r="T278" s="49">
        <f t="shared" si="1208"/>
        <v>454</v>
      </c>
      <c r="U278" s="41">
        <f t="shared" si="1208"/>
        <v>-297</v>
      </c>
      <c r="V278" s="41">
        <f t="shared" si="1208"/>
        <v>-649</v>
      </c>
      <c r="W278" s="41">
        <f t="shared" si="1208"/>
        <v>-85</v>
      </c>
      <c r="X278" s="41">
        <f t="shared" si="1208"/>
        <v>-198</v>
      </c>
      <c r="Y278" s="49">
        <f t="shared" si="1208"/>
        <v>-1229</v>
      </c>
      <c r="Z278" s="41">
        <f t="shared" si="1208"/>
        <v>-53</v>
      </c>
      <c r="AA278" s="41">
        <f t="shared" si="1208"/>
        <v>588</v>
      </c>
      <c r="AB278" s="41">
        <f t="shared" si="1208"/>
        <v>814</v>
      </c>
      <c r="AC278" s="41">
        <f t="shared" si="1208"/>
        <v>584</v>
      </c>
      <c r="AD278" s="49">
        <f t="shared" si="1208"/>
        <v>1933</v>
      </c>
      <c r="AE278" s="41">
        <f t="shared" si="1208"/>
        <v>581</v>
      </c>
      <c r="AF278" s="41">
        <f t="shared" si="1208"/>
        <v>728</v>
      </c>
      <c r="AG278" s="41">
        <f t="shared" si="1208"/>
        <v>582</v>
      </c>
      <c r="AH278" s="41">
        <f t="shared" si="1208"/>
        <v>272</v>
      </c>
      <c r="AI278" s="49">
        <f t="shared" si="1208"/>
        <v>2163</v>
      </c>
      <c r="AJ278" s="41">
        <f t="shared" si="1208"/>
        <v>202</v>
      </c>
      <c r="AK278" s="41">
        <f t="shared" si="1208"/>
        <v>315</v>
      </c>
      <c r="AL278" s="41">
        <f t="shared" si="1208"/>
        <v>326</v>
      </c>
      <c r="AM278" s="41">
        <f t="shared" si="1208"/>
        <v>-431</v>
      </c>
      <c r="AN278" s="49">
        <f t="shared" si="1208"/>
        <v>412</v>
      </c>
      <c r="AO278" s="41">
        <f t="shared" si="1208"/>
        <v>-599</v>
      </c>
      <c r="AP278" s="41">
        <f t="shared" si="1208"/>
        <v>-501</v>
      </c>
      <c r="AQ278" s="41">
        <f t="shared" si="1208"/>
        <v>-191</v>
      </c>
      <c r="AR278" s="41">
        <f t="shared" si="1208"/>
        <v>-389</v>
      </c>
      <c r="AS278" s="49">
        <f t="shared" si="1208"/>
        <v>-1680</v>
      </c>
      <c r="AT278" s="41">
        <f t="shared" si="1208"/>
        <v>-355</v>
      </c>
      <c r="AU278" s="41">
        <f t="shared" si="1208"/>
        <v>-28</v>
      </c>
      <c r="AV278" s="41">
        <f t="shared" si="1208"/>
        <v>161</v>
      </c>
      <c r="AW278" s="41">
        <f t="shared" si="1208"/>
        <v>-234</v>
      </c>
      <c r="AX278" s="49">
        <f t="shared" si="1208"/>
        <v>-456</v>
      </c>
      <c r="AY278" s="41">
        <f t="shared" si="1208"/>
        <v>-186.83203911999755</v>
      </c>
      <c r="AZ278" s="41">
        <f t="shared" si="1208"/>
        <v>49.525815806011963</v>
      </c>
      <c r="BA278" s="41">
        <f t="shared" si="1208"/>
        <v>228.90405915000662</v>
      </c>
      <c r="BB278" s="41">
        <f t="shared" si="1208"/>
        <v>-137.42779655096817</v>
      </c>
      <c r="BC278" s="49">
        <f t="shared" si="1208"/>
        <v>-45.829960714947788</v>
      </c>
      <c r="BD278" s="41">
        <f t="shared" si="1208"/>
        <v>-169.49251880239717</v>
      </c>
      <c r="BE278" s="41">
        <f t="shared" si="1208"/>
        <v>73.240138622131951</v>
      </c>
      <c r="BF278" s="41">
        <f t="shared" si="1208"/>
        <v>256.93358453300658</v>
      </c>
      <c r="BG278" s="41">
        <f t="shared" si="1208"/>
        <v>-117.79208308198707</v>
      </c>
      <c r="BH278" s="49">
        <f t="shared" si="1208"/>
        <v>42.889121270754003</v>
      </c>
      <c r="BI278" s="49">
        <f t="shared" si="1208"/>
        <v>184.72062760491508</v>
      </c>
      <c r="BJ278" s="49">
        <f t="shared" si="1208"/>
        <v>317.46001456951626</v>
      </c>
      <c r="BK278" s="49">
        <f t="shared" si="1208"/>
        <v>458.08334393173868</v>
      </c>
      <c r="BL278" s="49">
        <f t="shared" si="1208"/>
        <v>600.16770211305356</v>
      </c>
    </row>
    <row r="279" spans="3:64" s="18" customFormat="1" ht="12.75" customHeight="1">
      <c r="C279" s="59" t="s">
        <v>53</v>
      </c>
      <c r="D279" s="59"/>
      <c r="E279" s="53">
        <f t="shared" ref="E279:Q279" si="1209">E278/E202</f>
        <v>3.0671362035669656E-3</v>
      </c>
      <c r="F279" s="53">
        <f t="shared" si="1209"/>
        <v>3.0671362035669656E-3</v>
      </c>
      <c r="G279" s="53">
        <f t="shared" si="1209"/>
        <v>3.0671362035669656E-3</v>
      </c>
      <c r="H279" s="53">
        <f t="shared" si="1209"/>
        <v>3.0671362035669656E-3</v>
      </c>
      <c r="I279" s="53">
        <f t="shared" si="1209"/>
        <v>3.0671362035669656E-3</v>
      </c>
      <c r="J279" s="53">
        <f t="shared" si="1209"/>
        <v>3.0671362035669656E-3</v>
      </c>
      <c r="K279" s="53">
        <f t="shared" si="1209"/>
        <v>3.0671362035669656E-3</v>
      </c>
      <c r="L279" s="53">
        <f t="shared" si="1209"/>
        <v>3.0671362035669656E-3</v>
      </c>
      <c r="M279" s="53">
        <f t="shared" si="1209"/>
        <v>3.0671362035669656E-3</v>
      </c>
      <c r="N279" s="53">
        <f t="shared" si="1209"/>
        <v>3.0671362035669656E-3</v>
      </c>
      <c r="O279" s="53">
        <f t="shared" si="1209"/>
        <v>3.0671362035669656E-3</v>
      </c>
      <c r="P279" s="53">
        <f t="shared" si="1209"/>
        <v>3.0671362035669656E-3</v>
      </c>
      <c r="Q279" s="53">
        <f t="shared" si="1209"/>
        <v>3.0671362035669656E-3</v>
      </c>
      <c r="R279" s="53">
        <f t="shared" ref="R279:BL279" si="1210">R278/R202</f>
        <v>3.0671362035669656E-3</v>
      </c>
      <c r="S279" s="53">
        <f t="shared" si="1210"/>
        <v>2.241161616161616E-2</v>
      </c>
      <c r="T279" s="53">
        <f t="shared" si="1210"/>
        <v>4.6426014929951936E-2</v>
      </c>
      <c r="U279" s="18">
        <f t="shared" si="1210"/>
        <v>-0.1544461778471139</v>
      </c>
      <c r="V279" s="18">
        <f t="shared" si="1210"/>
        <v>-0.78004807692307687</v>
      </c>
      <c r="W279" s="18">
        <f t="shared" si="1210"/>
        <v>-6.7034700315457413E-2</v>
      </c>
      <c r="X279" s="18">
        <f t="shared" si="1210"/>
        <v>-0.16032388663967612</v>
      </c>
      <c r="Y279" s="53">
        <f t="shared" si="1210"/>
        <v>-0.23373906428299734</v>
      </c>
      <c r="Z279" s="18">
        <f t="shared" si="1210"/>
        <v>-4.1117145073700546E-2</v>
      </c>
      <c r="AA279" s="18">
        <f t="shared" si="1210"/>
        <v>0.31393486385477842</v>
      </c>
      <c r="AB279" s="18">
        <f t="shared" si="1210"/>
        <v>0.36567834681042227</v>
      </c>
      <c r="AC279" s="18">
        <f t="shared" si="1210"/>
        <v>0.29964084145715753</v>
      </c>
      <c r="AD279" s="53">
        <f t="shared" si="1210"/>
        <v>0.26345917950115849</v>
      </c>
      <c r="AE279" s="18">
        <f t="shared" si="1210"/>
        <v>0.32099447513812157</v>
      </c>
      <c r="AF279" s="18">
        <f t="shared" si="1210"/>
        <v>0.31058020477815701</v>
      </c>
      <c r="AG279" s="18">
        <f t="shared" si="1210"/>
        <v>0.23317307692307693</v>
      </c>
      <c r="AH279" s="18">
        <f t="shared" si="1210"/>
        <v>0.13366093366093365</v>
      </c>
      <c r="AI279" s="53">
        <f t="shared" si="1210"/>
        <v>0.24905008635578585</v>
      </c>
      <c r="AJ279" s="18">
        <f t="shared" si="1210"/>
        <v>9.8680996580361502E-2</v>
      </c>
      <c r="AK279" s="18">
        <f t="shared" si="1210"/>
        <v>0.12925728354534263</v>
      </c>
      <c r="AL279" s="18">
        <f t="shared" si="1210"/>
        <v>0.12060673325934147</v>
      </c>
      <c r="AM279" s="18">
        <f t="shared" si="1210"/>
        <v>-0.19734432234432234</v>
      </c>
      <c r="AN279" s="53">
        <f t="shared" si="1210"/>
        <v>4.3965425248105858E-2</v>
      </c>
      <c r="AO279" s="18">
        <f t="shared" si="1210"/>
        <v>-0.28798076923076921</v>
      </c>
      <c r="AP279" s="18">
        <f t="shared" si="1210"/>
        <v>-0.21291967700807479</v>
      </c>
      <c r="AQ279" s="18">
        <f t="shared" si="1210"/>
        <v>-7.4145962732919249E-2</v>
      </c>
      <c r="AR279" s="18">
        <f t="shared" si="1210"/>
        <v>-0.19068627450980391</v>
      </c>
      <c r="AS279" s="53">
        <f t="shared" si="1210"/>
        <v>-0.18565587357719085</v>
      </c>
      <c r="AT279" s="18">
        <f t="shared" si="1210"/>
        <v>-0.19580805295091008</v>
      </c>
      <c r="AU279" s="18">
        <f t="shared" si="1210"/>
        <v>-1.2814645308924484E-2</v>
      </c>
      <c r="AV279" s="18">
        <f t="shared" si="1210"/>
        <v>6.4971751412429377E-2</v>
      </c>
      <c r="AW279" s="18">
        <f t="shared" si="1210"/>
        <v>-0.11538461538461539</v>
      </c>
      <c r="AX279" s="53">
        <f t="shared" si="1210"/>
        <v>-5.3621825023518345E-2</v>
      </c>
      <c r="AY279" s="18">
        <f t="shared" si="1210"/>
        <v>-9.9922516120688115E-2</v>
      </c>
      <c r="AZ279" s="18">
        <f t="shared" si="1210"/>
        <v>2.2270888807205687E-2</v>
      </c>
      <c r="BA279" s="18">
        <f t="shared" si="1210"/>
        <v>9.0625395925608934E-2</v>
      </c>
      <c r="BB279" s="18">
        <f t="shared" si="1210"/>
        <v>-6.6088207085198289E-2</v>
      </c>
      <c r="BC279" s="53">
        <f t="shared" si="1210"/>
        <v>-5.2685092970558844E-3</v>
      </c>
      <c r="BD279" s="18">
        <f t="shared" si="1210"/>
        <v>-8.8871471172716529E-2</v>
      </c>
      <c r="BE279" s="18">
        <f t="shared" si="1210"/>
        <v>3.228902247958744E-2</v>
      </c>
      <c r="BF279" s="18">
        <f t="shared" si="1210"/>
        <v>9.9728003999276074E-2</v>
      </c>
      <c r="BG279" s="18">
        <f t="shared" si="1210"/>
        <v>-5.5534813410982146E-2</v>
      </c>
      <c r="BH279" s="53">
        <f t="shared" si="1210"/>
        <v>4.8337617677007491E-3</v>
      </c>
      <c r="BI279" s="53">
        <f t="shared" si="1210"/>
        <v>2.0360370968519673E-2</v>
      </c>
      <c r="BJ279" s="53">
        <f t="shared" si="1210"/>
        <v>3.4399123138448881E-2</v>
      </c>
      <c r="BK279" s="53">
        <f t="shared" si="1210"/>
        <v>4.8663424734064681E-2</v>
      </c>
      <c r="BL279" s="53">
        <f t="shared" si="1210"/>
        <v>6.2507282311994913E-2</v>
      </c>
    </row>
    <row r="280" spans="3:64" s="18" customFormat="1" ht="12.75" customHeight="1">
      <c r="C280" s="123" t="s">
        <v>279</v>
      </c>
      <c r="D280" s="59"/>
      <c r="E280" s="53">
        <f t="shared" ref="E280:Q280" si="1211">(E278*0.74)*4/(E23-E20-E21)</f>
        <v>5.0800915331807783E-3</v>
      </c>
      <c r="F280" s="53">
        <f t="shared" si="1211"/>
        <v>5.0800915331807783E-3</v>
      </c>
      <c r="G280" s="53">
        <f t="shared" si="1211"/>
        <v>5.0800915331807783E-3</v>
      </c>
      <c r="H280" s="53">
        <f t="shared" si="1211"/>
        <v>5.0800915331807783E-3</v>
      </c>
      <c r="I280" s="53">
        <f t="shared" si="1211"/>
        <v>5.0800915331807783E-3</v>
      </c>
      <c r="J280" s="53">
        <f t="shared" si="1211"/>
        <v>5.0800915331807783E-3</v>
      </c>
      <c r="K280" s="53">
        <f t="shared" si="1211"/>
        <v>5.0800915331807783E-3</v>
      </c>
      <c r="L280" s="53">
        <f t="shared" si="1211"/>
        <v>5.0800915331807783E-3</v>
      </c>
      <c r="M280" s="53">
        <f t="shared" si="1211"/>
        <v>5.0800915331807783E-3</v>
      </c>
      <c r="N280" s="53">
        <f t="shared" si="1211"/>
        <v>5.0800915331807783E-3</v>
      </c>
      <c r="O280" s="53">
        <f t="shared" si="1211"/>
        <v>5.0800915331807783E-3</v>
      </c>
      <c r="P280" s="53">
        <f t="shared" si="1211"/>
        <v>5.0800915331807783E-3</v>
      </c>
      <c r="Q280" s="53">
        <f t="shared" si="1211"/>
        <v>5.0800915331807783E-3</v>
      </c>
      <c r="R280" s="53">
        <f t="shared" ref="R280:X280" si="1212">(R278*0.74)*4/(R23-R20-R21)</f>
        <v>5.0800915331807783E-3</v>
      </c>
      <c r="S280" s="53">
        <f t="shared" si="1212"/>
        <v>3.6878802058961165E-2</v>
      </c>
      <c r="T280" s="53">
        <f t="shared" si="1212"/>
        <v>6.6179454348468433E-2</v>
      </c>
      <c r="U280" s="18">
        <f t="shared" si="1212"/>
        <v>-4.0830430542009195E-2</v>
      </c>
      <c r="V280" s="18">
        <f t="shared" si="1212"/>
        <v>-0.10138484272746463</v>
      </c>
      <c r="W280" s="18">
        <f t="shared" si="1212"/>
        <v>-1.7216367866429452E-2</v>
      </c>
      <c r="X280" s="18">
        <f t="shared" si="1212"/>
        <v>-4.5534923471369747E-2</v>
      </c>
      <c r="Y280" s="53">
        <f>(Y278*0.74)/(Y23-Y20-Y21)</f>
        <v>-7.0659622406961387E-2</v>
      </c>
      <c r="Z280" s="18">
        <f>(Z278*0.74)*4/(Z23-Z20-Z21)</f>
        <v>-1.2454747538901238E-2</v>
      </c>
      <c r="AA280" s="18">
        <f>(AA278*0.74)*4/(AA23-AA20-AA21)</f>
        <v>0.11591608391608392</v>
      </c>
      <c r="AB280" s="18">
        <f>(AB278*0.74)*4/(AB23-AB20-AB21)</f>
        <v>0.1542239006592844</v>
      </c>
      <c r="AC280" s="18">
        <f>(AC278*0.74)*4/(AC23-AC20-AC21)</f>
        <v>0.10922785290029065</v>
      </c>
      <c r="AD280" s="53">
        <f>(AD278*0.74)/(AD23-AD20-AD21)</f>
        <v>9.0384177935043608E-2</v>
      </c>
      <c r="AE280" s="18">
        <f>(AE278*0.74)*4/(AE23-AE20-AE21)</f>
        <v>0.10119806990702601</v>
      </c>
      <c r="AF280" s="18">
        <f>(AF278*0.74)*4/(AF23-AF20-AF21)</f>
        <v>0.11886369904572784</v>
      </c>
      <c r="AG280" s="18">
        <f>(AG278*0.74)*4/(AG23-AG20-AG21)</f>
        <v>9.6956325979288605E-2</v>
      </c>
      <c r="AH280" s="18">
        <f>(AH278*0.74)*4/(AH23-AH20-AH21)</f>
        <v>4.3365291392868682E-2</v>
      </c>
      <c r="AI280" s="53">
        <f>(AI278*0.74)/(AI23-AI20-AI21)</f>
        <v>8.6212431326079919E-2</v>
      </c>
      <c r="AJ280" s="18">
        <f>(AJ278*0.74)*4/(AJ23-AJ20-AJ21)</f>
        <v>3.0162942037027692E-2</v>
      </c>
      <c r="AK280" s="18">
        <f>(AK278*0.74)*4/(AK23-AK20-AK21)</f>
        <v>4.2060627932154454E-2</v>
      </c>
      <c r="AL280" s="18">
        <f>(AL278*0.74)*4/(AL23-AL20-AL21)</f>
        <v>4.4614175412640435E-2</v>
      </c>
      <c r="AM280" s="18">
        <f>(AM278*0.74)*4/(AM23-AM20-AM21)</f>
        <v>-6.1636873127838436E-2</v>
      </c>
      <c r="AN280" s="53">
        <f>(AN278*0.74)/(AN23-AN20-AN21)</f>
        <v>1.4729925596676007E-2</v>
      </c>
      <c r="AO280" s="18">
        <f>(AO278*0.74)*4/(AO23-AO20-AO21)</f>
        <v>-8.6896686924132521E-2</v>
      </c>
      <c r="AP280" s="18">
        <f>(AP278*0.74)*4/(AP23-AP20-AP21)</f>
        <v>-6.9678146877789782E-2</v>
      </c>
      <c r="AQ280" s="18">
        <f>(AQ278*0.74)*4/(AQ23-AQ20-AQ21)</f>
        <v>-2.9632580323916347E-2</v>
      </c>
      <c r="AR280" s="18">
        <f>(AR278*0.74)*4/(AR23-AR20-AR21)</f>
        <v>-6.4304702334413044E-2</v>
      </c>
      <c r="AS280" s="53">
        <f>(AS278*0.74)/(AS23-AS20-AS21)</f>
        <v>-6.9429241594996097E-2</v>
      </c>
      <c r="AT280" s="18">
        <f>(AT278*0.74)*4/(AT23-AT20-AT21)</f>
        <v>-5.7892127155528619E-2</v>
      </c>
      <c r="AU280" s="18">
        <f>(AU278*0.74)*4/(AU23-AU20-AU21)</f>
        <v>-4.3200416992442009E-3</v>
      </c>
      <c r="AV280" s="18">
        <f>(AV278*0.74)*4/(AV23-AV20-AV21)</f>
        <v>2.4963855421686748E-2</v>
      </c>
      <c r="AW280" s="18">
        <f>(AW278*0.74)*4/(AW23-AW20-AW21)</f>
        <v>-3.7627118644067793E-2</v>
      </c>
      <c r="AX280" s="53">
        <f>(AX278*0.74)/(AX23-AX20-AX21)</f>
        <v>-1.833116036505867E-2</v>
      </c>
      <c r="AY280" s="18">
        <f ca="1">(AY278*0.74)*4/(AY23-AY20-AY21)</f>
        <v>-3.1065898863194021E-2</v>
      </c>
      <c r="AZ280" s="18">
        <f ca="1">(AZ278*0.74)*4/(AZ23-AZ20-AZ21)</f>
        <v>8.4235540806331024E-3</v>
      </c>
      <c r="BA280" s="18">
        <f ca="1">(BA278*0.74)*4/(BA23-BA20-BA21)</f>
        <v>3.9945866744458013E-2</v>
      </c>
      <c r="BB280" s="18">
        <f ca="1">(BB278*0.74)*4/(BB23-BB20-BB21)</f>
        <v>-2.4598314768309679E-2</v>
      </c>
      <c r="BC280" s="53">
        <f ca="1">(BC278*0.74)/(BC23-BC20-BC21)</f>
        <v>-2.0507856266680619E-3</v>
      </c>
      <c r="BD280" s="18">
        <f ca="1">(BD278*0.74)*4/(BD23-BD20-BD21)</f>
        <v>-3.1054280457127645E-2</v>
      </c>
      <c r="BE280" s="18">
        <f ca="1">(BE278*0.74)*4/(BE23-BE20-BE21)</f>
        <v>1.3746091566399445E-2</v>
      </c>
      <c r="BF280" s="18">
        <f ca="1">(BF278*0.74)*4/(BF23-BF20-BF21)</f>
        <v>4.9570469597545498E-2</v>
      </c>
      <c r="BG280" s="18">
        <f ca="1">(BG278*0.74)*4/(BG23-BG20-BG21)</f>
        <v>-2.3357582996138732E-2</v>
      </c>
      <c r="BH280" s="53">
        <f ca="1">(BH278*0.74)/(BH23-BH20-BH21)</f>
        <v>2.1261747468542102E-3</v>
      </c>
      <c r="BI280" s="53">
        <f ca="1">(BI278*0.74)/(BI23-BI20-BI21)</f>
        <v>1.0307180989892292E-2</v>
      </c>
      <c r="BJ280" s="53">
        <f ca="1">(BJ278*0.74)/(BJ23-BJ20-BJ21)</f>
        <v>2.0525871426392839E-2</v>
      </c>
      <c r="BK280" s="53">
        <f ca="1">(BK278*0.74)/(BK23-BK20-BK21)</f>
        <v>3.5200735248149033E-2</v>
      </c>
      <c r="BL280" s="53">
        <f ca="1">(BL278*0.74)/(BL23-BL20-BL21)</f>
        <v>5.7474611740341491E-2</v>
      </c>
    </row>
    <row r="281" spans="3:64" s="18" customFormat="1" ht="12.75" customHeight="1">
      <c r="C281" s="59"/>
      <c r="D281" s="59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Y281" s="53"/>
      <c r="AD281" s="53"/>
      <c r="AI281" s="53"/>
      <c r="AN281" s="53"/>
      <c r="AS281" s="53"/>
      <c r="AX281" s="53"/>
      <c r="BC281" s="53"/>
      <c r="BH281" s="53"/>
      <c r="BI281" s="53"/>
      <c r="BJ281" s="53"/>
      <c r="BK281" s="53"/>
      <c r="BL281" s="53"/>
    </row>
    <row r="282" spans="3:64" s="41" customFormat="1" ht="12.75" customHeight="1">
      <c r="C282" s="41" t="s">
        <v>62</v>
      </c>
      <c r="E282" s="49">
        <f t="shared" ref="E282:Q282" si="1213">E252+E243+SUM(E269:E275)</f>
        <v>267</v>
      </c>
      <c r="F282" s="49">
        <f t="shared" si="1213"/>
        <v>267</v>
      </c>
      <c r="G282" s="49">
        <f t="shared" si="1213"/>
        <v>267</v>
      </c>
      <c r="H282" s="49">
        <f t="shared" si="1213"/>
        <v>267</v>
      </c>
      <c r="I282" s="49">
        <f t="shared" si="1213"/>
        <v>267</v>
      </c>
      <c r="J282" s="49">
        <f t="shared" si="1213"/>
        <v>267</v>
      </c>
      <c r="K282" s="49">
        <f t="shared" si="1213"/>
        <v>267</v>
      </c>
      <c r="L282" s="49">
        <f t="shared" si="1213"/>
        <v>267</v>
      </c>
      <c r="M282" s="49">
        <f t="shared" si="1213"/>
        <v>267</v>
      </c>
      <c r="N282" s="49">
        <f t="shared" si="1213"/>
        <v>267</v>
      </c>
      <c r="O282" s="49">
        <f t="shared" si="1213"/>
        <v>267</v>
      </c>
      <c r="P282" s="49">
        <f t="shared" si="1213"/>
        <v>267</v>
      </c>
      <c r="Q282" s="49">
        <f t="shared" si="1213"/>
        <v>267</v>
      </c>
      <c r="R282" s="49">
        <f t="shared" ref="R282:BL282" si="1214">R252+R243+SUM(R269:R275)</f>
        <v>267</v>
      </c>
      <c r="S282" s="49">
        <f t="shared" si="1214"/>
        <v>431</v>
      </c>
      <c r="T282" s="49">
        <f t="shared" si="1214"/>
        <v>657</v>
      </c>
      <c r="U282" s="41">
        <f t="shared" si="1214"/>
        <v>-244</v>
      </c>
      <c r="V282" s="41">
        <f t="shared" si="1214"/>
        <v>-592</v>
      </c>
      <c r="W282" s="41">
        <f t="shared" si="1214"/>
        <v>-27</v>
      </c>
      <c r="X282" s="41">
        <f t="shared" si="1214"/>
        <v>-141</v>
      </c>
      <c r="Y282" s="49">
        <f t="shared" si="1214"/>
        <v>-1004</v>
      </c>
      <c r="Z282" s="41">
        <f t="shared" si="1214"/>
        <v>1</v>
      </c>
      <c r="AA282" s="41">
        <f t="shared" si="1214"/>
        <v>638</v>
      </c>
      <c r="AB282" s="41">
        <f t="shared" si="1214"/>
        <v>863</v>
      </c>
      <c r="AC282" s="41">
        <f t="shared" si="1214"/>
        <v>627</v>
      </c>
      <c r="AD282" s="49">
        <f t="shared" si="1214"/>
        <v>2129</v>
      </c>
      <c r="AE282" s="41">
        <f t="shared" si="1214"/>
        <v>614</v>
      </c>
      <c r="AF282" s="41">
        <f t="shared" si="1214"/>
        <v>764</v>
      </c>
      <c r="AG282" s="41">
        <f t="shared" si="1214"/>
        <v>618</v>
      </c>
      <c r="AH282" s="41">
        <f t="shared" si="1214"/>
        <v>309</v>
      </c>
      <c r="AI282" s="49">
        <f t="shared" si="1214"/>
        <v>2305</v>
      </c>
      <c r="AJ282" s="41">
        <f t="shared" si="1214"/>
        <v>237</v>
      </c>
      <c r="AK282" s="41">
        <f t="shared" si="1214"/>
        <v>347</v>
      </c>
      <c r="AL282" s="41">
        <f t="shared" si="1214"/>
        <v>359</v>
      </c>
      <c r="AM282" s="41">
        <f t="shared" si="1214"/>
        <v>-382</v>
      </c>
      <c r="AN282" s="49">
        <f t="shared" si="1214"/>
        <v>561</v>
      </c>
      <c r="AO282" s="41">
        <f t="shared" si="1214"/>
        <v>-567</v>
      </c>
      <c r="AP282" s="41">
        <f t="shared" si="1214"/>
        <v>-460</v>
      </c>
      <c r="AQ282" s="41">
        <f t="shared" si="1214"/>
        <v>-157</v>
      </c>
      <c r="AR282" s="41">
        <f t="shared" si="1214"/>
        <v>-357</v>
      </c>
      <c r="AS282" s="49">
        <f t="shared" si="1214"/>
        <v>-1541</v>
      </c>
      <c r="AT282" s="41">
        <f t="shared" si="1214"/>
        <v>-325</v>
      </c>
      <c r="AU282" s="41">
        <f t="shared" si="1214"/>
        <v>1</v>
      </c>
      <c r="AV282" s="41">
        <f t="shared" si="1214"/>
        <v>190</v>
      </c>
      <c r="AW282" s="41">
        <f t="shared" si="1214"/>
        <v>-205</v>
      </c>
      <c r="AX282" s="49">
        <f t="shared" si="1214"/>
        <v>-339</v>
      </c>
      <c r="AY282" s="41">
        <f t="shared" si="1214"/>
        <v>-156.83203911999755</v>
      </c>
      <c r="AZ282" s="41">
        <f t="shared" si="1214"/>
        <v>78.525815806011963</v>
      </c>
      <c r="BA282" s="41">
        <f t="shared" si="1214"/>
        <v>257.90405915000662</v>
      </c>
      <c r="BB282" s="41">
        <f t="shared" si="1214"/>
        <v>-108.42779655096817</v>
      </c>
      <c r="BC282" s="49">
        <f t="shared" si="1214"/>
        <v>71.170039285052212</v>
      </c>
      <c r="BD282" s="41">
        <f t="shared" si="1214"/>
        <v>-139.49251880239717</v>
      </c>
      <c r="BE282" s="41">
        <f t="shared" si="1214"/>
        <v>102.24013862213195</v>
      </c>
      <c r="BF282" s="41">
        <f t="shared" si="1214"/>
        <v>285.93358453300658</v>
      </c>
      <c r="BG282" s="41">
        <f t="shared" si="1214"/>
        <v>-88.792083081987073</v>
      </c>
      <c r="BH282" s="49">
        <f t="shared" si="1214"/>
        <v>159.889121270754</v>
      </c>
      <c r="BI282" s="49">
        <f t="shared" si="1214"/>
        <v>301.72062760491508</v>
      </c>
      <c r="BJ282" s="49">
        <f t="shared" si="1214"/>
        <v>434.46001456951626</v>
      </c>
      <c r="BK282" s="49">
        <f t="shared" si="1214"/>
        <v>575.08334393173868</v>
      </c>
      <c r="BL282" s="49">
        <f t="shared" si="1214"/>
        <v>717.16770211305356</v>
      </c>
    </row>
    <row r="283" spans="3:64" s="18" customFormat="1" ht="12.75" customHeight="1">
      <c r="C283" s="59" t="s">
        <v>53</v>
      </c>
      <c r="D283" s="59"/>
      <c r="E283" s="53">
        <f t="shared" ref="E283:Q283" si="1215">E282/E202</f>
        <v>3.0330569124162217E-2</v>
      </c>
      <c r="F283" s="53">
        <f t="shared" si="1215"/>
        <v>3.0330569124162217E-2</v>
      </c>
      <c r="G283" s="53">
        <f t="shared" si="1215"/>
        <v>3.0330569124162217E-2</v>
      </c>
      <c r="H283" s="53">
        <f t="shared" si="1215"/>
        <v>3.0330569124162217E-2</v>
      </c>
      <c r="I283" s="53">
        <f t="shared" si="1215"/>
        <v>3.0330569124162217E-2</v>
      </c>
      <c r="J283" s="53">
        <f t="shared" si="1215"/>
        <v>3.0330569124162217E-2</v>
      </c>
      <c r="K283" s="53">
        <f t="shared" si="1215"/>
        <v>3.0330569124162217E-2</v>
      </c>
      <c r="L283" s="53">
        <f t="shared" si="1215"/>
        <v>3.0330569124162217E-2</v>
      </c>
      <c r="M283" s="53">
        <f t="shared" si="1215"/>
        <v>3.0330569124162217E-2</v>
      </c>
      <c r="N283" s="53">
        <f t="shared" si="1215"/>
        <v>3.0330569124162217E-2</v>
      </c>
      <c r="O283" s="53">
        <f t="shared" si="1215"/>
        <v>3.0330569124162217E-2</v>
      </c>
      <c r="P283" s="53">
        <f t="shared" si="1215"/>
        <v>3.0330569124162217E-2</v>
      </c>
      <c r="Q283" s="53">
        <f t="shared" si="1215"/>
        <v>3.0330569124162217E-2</v>
      </c>
      <c r="R283" s="53">
        <f t="shared" ref="R283:BL283" si="1216">R282/R202</f>
        <v>3.0330569124162217E-2</v>
      </c>
      <c r="S283" s="53">
        <f t="shared" si="1216"/>
        <v>4.5349326599326598E-2</v>
      </c>
      <c r="T283" s="53">
        <f t="shared" si="1216"/>
        <v>6.7184783720216787E-2</v>
      </c>
      <c r="U283" s="18">
        <f t="shared" si="1216"/>
        <v>-0.12688507540301613</v>
      </c>
      <c r="V283" s="18">
        <f t="shared" si="1216"/>
        <v>-0.71153846153846156</v>
      </c>
      <c r="W283" s="18">
        <f t="shared" si="1216"/>
        <v>-2.1293375394321766E-2</v>
      </c>
      <c r="X283" s="18">
        <f t="shared" si="1216"/>
        <v>-0.11417004048582996</v>
      </c>
      <c r="Y283" s="53">
        <f t="shared" si="1216"/>
        <v>-0.1909471281856219</v>
      </c>
      <c r="Z283" s="18">
        <f t="shared" si="1216"/>
        <v>7.7579519006982156E-4</v>
      </c>
      <c r="AA283" s="18">
        <f t="shared" si="1216"/>
        <v>0.34063000533902832</v>
      </c>
      <c r="AB283" s="18">
        <f t="shared" si="1216"/>
        <v>0.38769092542677447</v>
      </c>
      <c r="AC283" s="18">
        <f t="shared" si="1216"/>
        <v>0.32170343766033865</v>
      </c>
      <c r="AD283" s="53">
        <f t="shared" si="1216"/>
        <v>0.29017309527054652</v>
      </c>
      <c r="AE283" s="18">
        <f t="shared" si="1216"/>
        <v>0.33922651933701659</v>
      </c>
      <c r="AF283" s="18">
        <f t="shared" si="1216"/>
        <v>0.32593856655290104</v>
      </c>
      <c r="AG283" s="18">
        <f t="shared" si="1216"/>
        <v>0.24759615384615385</v>
      </c>
      <c r="AH283" s="18">
        <f t="shared" si="1216"/>
        <v>0.15184275184275184</v>
      </c>
      <c r="AI283" s="53">
        <f t="shared" si="1216"/>
        <v>0.26540011514104778</v>
      </c>
      <c r="AJ283" s="18">
        <f t="shared" si="1216"/>
        <v>0.11577918905715681</v>
      </c>
      <c r="AK283" s="18">
        <f t="shared" si="1216"/>
        <v>0.14238818219121871</v>
      </c>
      <c r="AL283" s="18">
        <f t="shared" si="1216"/>
        <v>0.13281539030706621</v>
      </c>
      <c r="AM283" s="18">
        <f t="shared" si="1216"/>
        <v>-0.1749084249084249</v>
      </c>
      <c r="AN283" s="53">
        <f t="shared" si="1216"/>
        <v>5.9865542631522786E-2</v>
      </c>
      <c r="AO283" s="18">
        <f t="shared" si="1216"/>
        <v>-0.27259615384615382</v>
      </c>
      <c r="AP283" s="18">
        <f t="shared" si="1216"/>
        <v>-0.19549511262218444</v>
      </c>
      <c r="AQ283" s="18">
        <f t="shared" si="1216"/>
        <v>-6.0947204968944096E-2</v>
      </c>
      <c r="AR283" s="18">
        <f t="shared" si="1216"/>
        <v>-0.17499999999999999</v>
      </c>
      <c r="AS283" s="53">
        <f t="shared" si="1216"/>
        <v>-0.17029506022764945</v>
      </c>
      <c r="AT283" s="18">
        <f t="shared" si="1216"/>
        <v>-0.17926089354660782</v>
      </c>
      <c r="AU283" s="18">
        <f t="shared" si="1216"/>
        <v>4.5766590389016021E-4</v>
      </c>
      <c r="AV283" s="18">
        <f t="shared" si="1216"/>
        <v>7.667473769168684E-2</v>
      </c>
      <c r="AW283" s="18">
        <f t="shared" si="1216"/>
        <v>-0.10108481262327416</v>
      </c>
      <c r="AX283" s="53">
        <f t="shared" si="1216"/>
        <v>-3.9863593603010346E-2</v>
      </c>
      <c r="AY283" s="18">
        <f t="shared" si="1216"/>
        <v>-8.3877754752455597E-2</v>
      </c>
      <c r="AZ283" s="18">
        <f t="shared" si="1216"/>
        <v>3.5311679047566838E-2</v>
      </c>
      <c r="BA283" s="18">
        <f t="shared" si="1216"/>
        <v>0.10210678464191988</v>
      </c>
      <c r="BB283" s="18">
        <f t="shared" si="1216"/>
        <v>-5.2142280179792715E-2</v>
      </c>
      <c r="BC283" s="53">
        <f t="shared" si="1216"/>
        <v>8.1815477865516493E-3</v>
      </c>
      <c r="BD283" s="18">
        <f t="shared" si="1216"/>
        <v>-7.3141312968567004E-2</v>
      </c>
      <c r="BE283" s="18">
        <f t="shared" si="1216"/>
        <v>4.5074110950529746E-2</v>
      </c>
      <c r="BF283" s="18">
        <f t="shared" si="1216"/>
        <v>0.11098426744663974</v>
      </c>
      <c r="BG283" s="18">
        <f t="shared" si="1216"/>
        <v>-4.1862336052741395E-2</v>
      </c>
      <c r="BH283" s="53">
        <f t="shared" si="1216"/>
        <v>1.802009224182578E-2</v>
      </c>
      <c r="BI283" s="53">
        <f t="shared" si="1216"/>
        <v>3.3256404477088247E-2</v>
      </c>
      <c r="BJ283" s="53">
        <f t="shared" si="1216"/>
        <v>4.7076932067098086E-2</v>
      </c>
      <c r="BK283" s="53">
        <f t="shared" si="1216"/>
        <v>6.1092649173916838E-2</v>
      </c>
      <c r="BL283" s="53">
        <f t="shared" si="1216"/>
        <v>7.4692796468712713E-2</v>
      </c>
    </row>
    <row r="284" spans="3:64" s="18" customFormat="1" ht="12.75" customHeight="1">
      <c r="C284" s="59"/>
      <c r="D284" s="59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Y284" s="53"/>
      <c r="AD284" s="53"/>
      <c r="AI284" s="53"/>
      <c r="AN284" s="53"/>
      <c r="AS284" s="53"/>
      <c r="AX284" s="53"/>
      <c r="BC284" s="53"/>
      <c r="BH284" s="53"/>
      <c r="BI284" s="53"/>
      <c r="BJ284" s="53"/>
      <c r="BK284" s="53"/>
      <c r="BL284" s="53"/>
    </row>
    <row r="285" spans="3:64" s="41" customFormat="1" ht="12.75" customHeight="1">
      <c r="C285" s="41" t="s">
        <v>303</v>
      </c>
      <c r="E285" s="49">
        <f t="shared" ref="E285:Q285" si="1217">E282+E249</f>
        <v>598</v>
      </c>
      <c r="F285" s="49">
        <f t="shared" si="1217"/>
        <v>598</v>
      </c>
      <c r="G285" s="49">
        <f t="shared" si="1217"/>
        <v>598</v>
      </c>
      <c r="H285" s="49">
        <f t="shared" si="1217"/>
        <v>598</v>
      </c>
      <c r="I285" s="49">
        <f t="shared" si="1217"/>
        <v>598</v>
      </c>
      <c r="J285" s="49">
        <f t="shared" si="1217"/>
        <v>598</v>
      </c>
      <c r="K285" s="49">
        <f t="shared" si="1217"/>
        <v>598</v>
      </c>
      <c r="L285" s="49">
        <f t="shared" si="1217"/>
        <v>598</v>
      </c>
      <c r="M285" s="49">
        <f t="shared" si="1217"/>
        <v>598</v>
      </c>
      <c r="N285" s="49">
        <f t="shared" si="1217"/>
        <v>598</v>
      </c>
      <c r="O285" s="49">
        <f t="shared" si="1217"/>
        <v>598</v>
      </c>
      <c r="P285" s="49">
        <f t="shared" si="1217"/>
        <v>598</v>
      </c>
      <c r="Q285" s="49">
        <f t="shared" si="1217"/>
        <v>598</v>
      </c>
      <c r="R285" s="49">
        <f>R282+R249</f>
        <v>598</v>
      </c>
      <c r="S285" s="49">
        <f t="shared" ref="S285:BL285" si="1218">S282+S249</f>
        <v>879</v>
      </c>
      <c r="T285" s="49">
        <f t="shared" si="1218"/>
        <v>1151</v>
      </c>
      <c r="U285" s="41">
        <f t="shared" si="1218"/>
        <v>-126</v>
      </c>
      <c r="V285" s="41">
        <f t="shared" si="1218"/>
        <v>-460</v>
      </c>
      <c r="W285" s="41">
        <f t="shared" si="1218"/>
        <v>83</v>
      </c>
      <c r="X285" s="41">
        <f t="shared" si="1218"/>
        <v>-45</v>
      </c>
      <c r="Y285" s="49">
        <f t="shared" si="1218"/>
        <v>-548</v>
      </c>
      <c r="Z285" s="41">
        <f t="shared" si="1218"/>
        <v>105</v>
      </c>
      <c r="AA285" s="41">
        <f t="shared" si="1218"/>
        <v>736</v>
      </c>
      <c r="AB285" s="41">
        <f t="shared" si="1218"/>
        <v>905</v>
      </c>
      <c r="AC285" s="41">
        <f t="shared" si="1218"/>
        <v>668</v>
      </c>
      <c r="AD285" s="49">
        <f t="shared" si="1218"/>
        <v>2414</v>
      </c>
      <c r="AE285" s="41">
        <f t="shared" si="1218"/>
        <v>619</v>
      </c>
      <c r="AF285" s="41">
        <f t="shared" si="1218"/>
        <v>809</v>
      </c>
      <c r="AG285" s="41">
        <f t="shared" si="1218"/>
        <v>645</v>
      </c>
      <c r="AH285" s="41">
        <f t="shared" si="1218"/>
        <v>391</v>
      </c>
      <c r="AI285" s="49">
        <f t="shared" si="1218"/>
        <v>2464</v>
      </c>
      <c r="AJ285" s="41">
        <f t="shared" si="1218"/>
        <v>348</v>
      </c>
      <c r="AK285" s="41">
        <f t="shared" si="1218"/>
        <v>479</v>
      </c>
      <c r="AL285" s="41">
        <f t="shared" si="1218"/>
        <v>521</v>
      </c>
      <c r="AM285" s="41">
        <f t="shared" si="1218"/>
        <v>-232</v>
      </c>
      <c r="AN285" s="49">
        <f t="shared" si="1218"/>
        <v>1116</v>
      </c>
      <c r="AO285" s="41">
        <f t="shared" si="1218"/>
        <v>-426</v>
      </c>
      <c r="AP285" s="41">
        <f t="shared" si="1218"/>
        <v>-311</v>
      </c>
      <c r="AQ285" s="41">
        <f t="shared" si="1218"/>
        <v>0</v>
      </c>
      <c r="AR285" s="41">
        <f t="shared" si="1218"/>
        <v>-214</v>
      </c>
      <c r="AS285" s="49">
        <f t="shared" si="1218"/>
        <v>-951</v>
      </c>
      <c r="AT285" s="41">
        <f t="shared" si="1218"/>
        <v>-185</v>
      </c>
      <c r="AU285" s="41">
        <f t="shared" si="1218"/>
        <v>153</v>
      </c>
      <c r="AV285" s="41">
        <f t="shared" si="1218"/>
        <v>351</v>
      </c>
      <c r="AW285" s="41">
        <f t="shared" si="1218"/>
        <v>-50</v>
      </c>
      <c r="AX285" s="49">
        <f t="shared" si="1218"/>
        <v>269</v>
      </c>
      <c r="AY285" s="41">
        <f t="shared" si="1218"/>
        <v>-15.43203911999754</v>
      </c>
      <c r="AZ285" s="41">
        <f t="shared" si="1218"/>
        <v>232.04581580601194</v>
      </c>
      <c r="BA285" s="41">
        <f t="shared" si="1218"/>
        <v>422.12405915000659</v>
      </c>
      <c r="BB285" s="41">
        <f t="shared" si="1218"/>
        <v>49.672203449031826</v>
      </c>
      <c r="BC285" s="49">
        <f t="shared" si="1218"/>
        <v>688.41003928505222</v>
      </c>
      <c r="BD285" s="41">
        <f t="shared" si="1218"/>
        <v>22.815491197602796</v>
      </c>
      <c r="BE285" s="41">
        <f t="shared" si="1218"/>
        <v>278.76490862213194</v>
      </c>
      <c r="BF285" s="41">
        <f t="shared" si="1218"/>
        <v>474.35002453300655</v>
      </c>
      <c r="BG285" s="41">
        <f t="shared" si="1218"/>
        <v>92.757716918012875</v>
      </c>
      <c r="BH285" s="49">
        <f t="shared" si="1218"/>
        <v>868.68814127075393</v>
      </c>
      <c r="BI285" s="49">
        <f t="shared" si="1218"/>
        <v>1026.6763814306682</v>
      </c>
      <c r="BJ285" s="49">
        <f t="shared" si="1218"/>
        <v>1171.8945149775161</v>
      </c>
      <c r="BK285" s="49">
        <f t="shared" si="1218"/>
        <v>1327.2665343478984</v>
      </c>
      <c r="BL285" s="49">
        <f t="shared" si="1218"/>
        <v>1484.3945563375366</v>
      </c>
    </row>
    <row r="286" spans="3:64" s="18" customFormat="1" ht="12.75" customHeight="1">
      <c r="C286" s="59" t="s">
        <v>53</v>
      </c>
      <c r="D286" s="59"/>
      <c r="E286" s="53">
        <f t="shared" ref="E286:Q286" si="1219">E285/E202</f>
        <v>6.7931387027149834E-2</v>
      </c>
      <c r="F286" s="53">
        <f t="shared" si="1219"/>
        <v>6.7931387027149834E-2</v>
      </c>
      <c r="G286" s="53">
        <f t="shared" si="1219"/>
        <v>6.7931387027149834E-2</v>
      </c>
      <c r="H286" s="53">
        <f t="shared" si="1219"/>
        <v>6.7931387027149834E-2</v>
      </c>
      <c r="I286" s="53">
        <f t="shared" si="1219"/>
        <v>6.7931387027149834E-2</v>
      </c>
      <c r="J286" s="53">
        <f t="shared" si="1219"/>
        <v>6.7931387027149834E-2</v>
      </c>
      <c r="K286" s="53">
        <f t="shared" si="1219"/>
        <v>6.7931387027149834E-2</v>
      </c>
      <c r="L286" s="53">
        <f t="shared" si="1219"/>
        <v>6.7931387027149834E-2</v>
      </c>
      <c r="M286" s="53">
        <f t="shared" si="1219"/>
        <v>6.7931387027149834E-2</v>
      </c>
      <c r="N286" s="53">
        <f t="shared" si="1219"/>
        <v>6.7931387027149834E-2</v>
      </c>
      <c r="O286" s="53">
        <f t="shared" si="1219"/>
        <v>6.7931387027149834E-2</v>
      </c>
      <c r="P286" s="53">
        <f t="shared" si="1219"/>
        <v>6.7931387027149834E-2</v>
      </c>
      <c r="Q286" s="53">
        <f t="shared" si="1219"/>
        <v>6.7931387027149834E-2</v>
      </c>
      <c r="R286" s="53">
        <f t="shared" ref="R286:BL286" si="1220">R285/R202</f>
        <v>6.7931387027149834E-2</v>
      </c>
      <c r="S286" s="53">
        <f t="shared" si="1220"/>
        <v>9.2487373737373743E-2</v>
      </c>
      <c r="T286" s="53">
        <f t="shared" si="1220"/>
        <v>0.11770119644135392</v>
      </c>
      <c r="U286" s="18">
        <f t="shared" si="1220"/>
        <v>-6.5522620904836196E-2</v>
      </c>
      <c r="V286" s="18">
        <f t="shared" si="1220"/>
        <v>-0.55288461538461542</v>
      </c>
      <c r="W286" s="18">
        <f t="shared" si="1220"/>
        <v>6.5457413249211352E-2</v>
      </c>
      <c r="X286" s="18">
        <f t="shared" si="1220"/>
        <v>-3.643724696356275E-2</v>
      </c>
      <c r="Y286" s="53">
        <f t="shared" si="1220"/>
        <v>-0.10422213769494104</v>
      </c>
      <c r="Z286" s="18">
        <f t="shared" si="1220"/>
        <v>8.1458494957331262E-2</v>
      </c>
      <c r="AA286" s="18">
        <f t="shared" si="1220"/>
        <v>0.39295248264815802</v>
      </c>
      <c r="AB286" s="18">
        <f t="shared" si="1220"/>
        <v>0.40655884995507635</v>
      </c>
      <c r="AC286" s="18">
        <f t="shared" si="1220"/>
        <v>0.3427398665982555</v>
      </c>
      <c r="AD286" s="53">
        <f t="shared" si="1220"/>
        <v>0.32901730952705466</v>
      </c>
      <c r="AE286" s="18">
        <f t="shared" si="1220"/>
        <v>0.3419889502762431</v>
      </c>
      <c r="AF286" s="18">
        <f t="shared" si="1220"/>
        <v>0.34513651877133106</v>
      </c>
      <c r="AG286" s="18">
        <f t="shared" si="1220"/>
        <v>0.25841346153846156</v>
      </c>
      <c r="AH286" s="18">
        <f t="shared" si="1220"/>
        <v>0.19213759213759213</v>
      </c>
      <c r="AI286" s="53">
        <f t="shared" si="1220"/>
        <v>0.28370754173862983</v>
      </c>
      <c r="AJ286" s="18">
        <f t="shared" si="1220"/>
        <v>0.17000488519785051</v>
      </c>
      <c r="AK286" s="18">
        <f t="shared" si="1220"/>
        <v>0.19655313910545752</v>
      </c>
      <c r="AL286" s="18">
        <f t="shared" si="1220"/>
        <v>0.19274879763226044</v>
      </c>
      <c r="AM286" s="18">
        <f t="shared" si="1220"/>
        <v>-0.10622710622710622</v>
      </c>
      <c r="AN286" s="53">
        <f t="shared" si="1220"/>
        <v>0.11909081207982072</v>
      </c>
      <c r="AO286" s="18">
        <f t="shared" si="1220"/>
        <v>-0.2048076923076923</v>
      </c>
      <c r="AP286" s="18">
        <f t="shared" si="1220"/>
        <v>-0.13217169570760731</v>
      </c>
      <c r="AQ286" s="18">
        <f t="shared" si="1220"/>
        <v>0</v>
      </c>
      <c r="AR286" s="18">
        <f t="shared" si="1220"/>
        <v>-0.10490196078431373</v>
      </c>
      <c r="AS286" s="53">
        <f t="shared" si="1220"/>
        <v>-0.10509448557851696</v>
      </c>
      <c r="AT286" s="18">
        <f t="shared" si="1220"/>
        <v>-0.10204081632653061</v>
      </c>
      <c r="AU286" s="18">
        <f t="shared" si="1220"/>
        <v>7.0022883295194502E-2</v>
      </c>
      <c r="AV286" s="18">
        <f t="shared" si="1220"/>
        <v>0.14164648910411623</v>
      </c>
      <c r="AW286" s="18">
        <f t="shared" si="1220"/>
        <v>-2.465483234714004E-2</v>
      </c>
      <c r="AX286" s="53">
        <f t="shared" si="1220"/>
        <v>3.1632173095014114E-2</v>
      </c>
      <c r="AY286" s="18">
        <f t="shared" si="1220"/>
        <v>-8.2534461701863175E-3</v>
      </c>
      <c r="AZ286" s="18">
        <f t="shared" si="1220"/>
        <v>0.10434692448550628</v>
      </c>
      <c r="BA286" s="18">
        <f t="shared" si="1220"/>
        <v>0.16712311757269863</v>
      </c>
      <c r="BB286" s="18">
        <f t="shared" si="1220"/>
        <v>2.3887066156228706E-2</v>
      </c>
      <c r="BC286" s="53">
        <f t="shared" si="1220"/>
        <v>7.9138071156516721E-2</v>
      </c>
      <c r="BD286" s="18">
        <f t="shared" si="1220"/>
        <v>1.1963042868122432E-2</v>
      </c>
      <c r="BE286" s="18">
        <f t="shared" si="1220"/>
        <v>0.12289772480441742</v>
      </c>
      <c r="BF286" s="18">
        <f t="shared" si="1220"/>
        <v>0.18411754628989457</v>
      </c>
      <c r="BG286" s="18">
        <f t="shared" si="1220"/>
        <v>4.3731992564263328E-2</v>
      </c>
      <c r="BH286" s="53">
        <f t="shared" si="1220"/>
        <v>9.7904349655979259E-2</v>
      </c>
      <c r="BI286" s="53">
        <f t="shared" si="1220"/>
        <v>0.11316284630244296</v>
      </c>
      <c r="BJ286" s="53">
        <f t="shared" si="1220"/>
        <v>0.12698337389245282</v>
      </c>
      <c r="BK286" s="53">
        <f t="shared" si="1220"/>
        <v>0.14099909099927155</v>
      </c>
      <c r="BL286" s="53">
        <f t="shared" si="1220"/>
        <v>0.15459923829406744</v>
      </c>
    </row>
    <row r="287" spans="3:64" s="18" customFormat="1" ht="12.75" customHeight="1">
      <c r="C287" s="59"/>
      <c r="D287" s="59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Y287" s="53"/>
      <c r="AD287" s="53"/>
      <c r="AI287" s="53"/>
      <c r="AN287" s="53"/>
      <c r="AS287" s="53"/>
      <c r="AX287" s="53"/>
      <c r="BC287" s="53"/>
      <c r="BH287" s="53"/>
      <c r="BI287" s="53"/>
      <c r="BJ287" s="53"/>
      <c r="BK287" s="53"/>
      <c r="BL287" s="53"/>
    </row>
    <row r="288" spans="3:64" s="41" customFormat="1" ht="12.75" customHeight="1">
      <c r="C288" s="41" t="s">
        <v>280</v>
      </c>
      <c r="E288" s="49">
        <f>E421</f>
        <v>-189</v>
      </c>
      <c r="F288" s="49">
        <f t="shared" ref="F288:BL288" si="1221">F421</f>
        <v>-189</v>
      </c>
      <c r="G288" s="49">
        <f t="shared" si="1221"/>
        <v>-189</v>
      </c>
      <c r="H288" s="49">
        <f t="shared" si="1221"/>
        <v>-189</v>
      </c>
      <c r="I288" s="49">
        <f t="shared" si="1221"/>
        <v>-189</v>
      </c>
      <c r="J288" s="49">
        <f t="shared" si="1221"/>
        <v>-189</v>
      </c>
      <c r="K288" s="49">
        <f t="shared" si="1221"/>
        <v>-189</v>
      </c>
      <c r="L288" s="49">
        <f t="shared" si="1221"/>
        <v>-189</v>
      </c>
      <c r="M288" s="49">
        <f t="shared" si="1221"/>
        <v>-189</v>
      </c>
      <c r="N288" s="49">
        <f t="shared" si="1221"/>
        <v>-189</v>
      </c>
      <c r="O288" s="49">
        <f t="shared" si="1221"/>
        <v>-189</v>
      </c>
      <c r="P288" s="49">
        <f t="shared" si="1221"/>
        <v>-189</v>
      </c>
      <c r="Q288" s="49">
        <f t="shared" si="1221"/>
        <v>-189</v>
      </c>
      <c r="R288" s="49">
        <f t="shared" si="1221"/>
        <v>-189</v>
      </c>
      <c r="S288" s="49">
        <f t="shared" si="1221"/>
        <v>-28</v>
      </c>
      <c r="T288" s="49">
        <f t="shared" si="1221"/>
        <v>-42</v>
      </c>
      <c r="U288" s="41">
        <f t="shared" si="1221"/>
        <v>-598</v>
      </c>
      <c r="V288" s="41">
        <f t="shared" si="1221"/>
        <v>812</v>
      </c>
      <c r="W288" s="41">
        <f t="shared" si="1221"/>
        <v>-442</v>
      </c>
      <c r="X288" s="41">
        <f t="shared" si="1221"/>
        <v>-506</v>
      </c>
      <c r="Y288" s="49">
        <f t="shared" si="1221"/>
        <v>-734</v>
      </c>
      <c r="Z288" s="41">
        <f t="shared" si="1221"/>
        <v>-486</v>
      </c>
      <c r="AA288" s="41">
        <f t="shared" si="1221"/>
        <v>-1174</v>
      </c>
      <c r="AB288" s="41">
        <f t="shared" si="1221"/>
        <v>592</v>
      </c>
      <c r="AC288" s="41">
        <f t="shared" si="1221"/>
        <v>199</v>
      </c>
      <c r="AD288" s="49">
        <f t="shared" si="1221"/>
        <v>-869</v>
      </c>
      <c r="AE288" s="41">
        <f t="shared" si="1221"/>
        <v>266</v>
      </c>
      <c r="AF288" s="41">
        <f t="shared" si="1221"/>
        <v>363</v>
      </c>
      <c r="AG288" s="41">
        <f t="shared" si="1221"/>
        <v>483</v>
      </c>
      <c r="AH288" s="41">
        <f t="shared" si="1221"/>
        <v>223</v>
      </c>
      <c r="AI288" s="49">
        <f t="shared" si="1221"/>
        <v>1335</v>
      </c>
      <c r="AJ288" s="41">
        <f t="shared" si="1221"/>
        <v>-55</v>
      </c>
      <c r="AK288" s="41">
        <f t="shared" si="1221"/>
        <v>-461</v>
      </c>
      <c r="AL288" s="41">
        <f t="shared" si="1221"/>
        <v>321</v>
      </c>
      <c r="AM288" s="41">
        <f t="shared" si="1221"/>
        <v>-148</v>
      </c>
      <c r="AN288" s="49">
        <f t="shared" si="1221"/>
        <v>-343</v>
      </c>
      <c r="AO288" s="41">
        <f t="shared" si="1221"/>
        <v>-689</v>
      </c>
      <c r="AP288" s="41">
        <f t="shared" si="1221"/>
        <v>-610</v>
      </c>
      <c r="AQ288" s="41">
        <f t="shared" si="1221"/>
        <v>-176</v>
      </c>
      <c r="AR288" s="41">
        <f t="shared" si="1221"/>
        <v>-183</v>
      </c>
      <c r="AS288" s="49">
        <f t="shared" si="1221"/>
        <v>-1658</v>
      </c>
      <c r="AT288" s="41">
        <f t="shared" si="1221"/>
        <v>-725</v>
      </c>
      <c r="AU288" s="41">
        <f t="shared" si="1221"/>
        <v>542</v>
      </c>
      <c r="AV288" s="41">
        <f t="shared" si="1221"/>
        <v>232</v>
      </c>
      <c r="AW288" s="41">
        <f t="shared" si="1221"/>
        <v>-248</v>
      </c>
      <c r="AX288" s="49">
        <f t="shared" si="1221"/>
        <v>-199</v>
      </c>
      <c r="AY288" s="41">
        <f t="shared" ca="1" si="1221"/>
        <v>199.1762260363877</v>
      </c>
      <c r="AZ288" s="41">
        <f t="shared" ca="1" si="1221"/>
        <v>410.93306943214509</v>
      </c>
      <c r="BA288" s="41">
        <f t="shared" ca="1" si="1221"/>
        <v>650.49921204796146</v>
      </c>
      <c r="BB288" s="41">
        <f t="shared" ca="1" si="1221"/>
        <v>301.79377153977379</v>
      </c>
      <c r="BC288" s="49">
        <f t="shared" ca="1" si="1221"/>
        <v>1562.4022790562676</v>
      </c>
      <c r="BD288" s="41">
        <f t="shared" ca="1" si="1221"/>
        <v>259.36835542699896</v>
      </c>
      <c r="BE288" s="41">
        <f t="shared" ca="1" si="1221"/>
        <v>475.99239910861644</v>
      </c>
      <c r="BF288" s="41">
        <f t="shared" ca="1" si="1221"/>
        <v>722.19948018023763</v>
      </c>
      <c r="BG288" s="41">
        <f t="shared" ca="1" si="1221"/>
        <v>367.31390563980602</v>
      </c>
      <c r="BH288" s="49">
        <f t="shared" ca="1" si="1221"/>
        <v>1824.8741403556589</v>
      </c>
      <c r="BI288" s="49">
        <f t="shared" ca="1" si="1221"/>
        <v>2177.974491651662</v>
      </c>
      <c r="BJ288" s="49">
        <f t="shared" ca="1" si="1221"/>
        <v>2544.3935697888537</v>
      </c>
      <c r="BK288" s="49">
        <f t="shared" ca="1" si="1221"/>
        <v>2953.6466682499922</v>
      </c>
      <c r="BL288" s="49">
        <f t="shared" ca="1" si="1221"/>
        <v>3400.0150472372416</v>
      </c>
    </row>
    <row r="289" spans="3:64" s="41" customFormat="1" ht="12.75" customHeight="1"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Y289" s="49"/>
      <c r="AD289" s="49"/>
      <c r="AI289" s="49"/>
      <c r="AN289" s="49"/>
      <c r="AS289" s="49"/>
      <c r="AX289" s="49"/>
      <c r="BC289" s="49"/>
      <c r="BH289" s="49"/>
      <c r="BI289" s="49"/>
      <c r="BJ289" s="49"/>
      <c r="BK289" s="49"/>
      <c r="BL289" s="49"/>
    </row>
    <row r="290" spans="3:64" s="41" customFormat="1" ht="18" customHeight="1">
      <c r="C290" s="135" t="s">
        <v>76</v>
      </c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4"/>
      <c r="V290" s="114"/>
      <c r="W290" s="114"/>
      <c r="X290" s="114"/>
      <c r="Y290" s="115"/>
      <c r="Z290" s="58"/>
      <c r="AA290" s="58"/>
      <c r="AB290" s="58"/>
      <c r="AC290" s="58"/>
      <c r="AD290" s="57"/>
      <c r="AE290" s="114"/>
      <c r="AF290" s="114"/>
      <c r="AG290" s="114"/>
      <c r="AH290" s="114"/>
      <c r="AI290" s="115"/>
      <c r="AJ290" s="58"/>
      <c r="AK290" s="58"/>
      <c r="AL290" s="58"/>
      <c r="AM290" s="58"/>
      <c r="AN290" s="57"/>
      <c r="AO290" s="58"/>
      <c r="AP290" s="58"/>
      <c r="AQ290" s="58"/>
      <c r="AR290" s="58"/>
      <c r="AS290" s="57"/>
      <c r="AT290" s="58"/>
      <c r="AU290" s="58"/>
      <c r="AV290" s="58"/>
      <c r="AW290" s="58"/>
      <c r="AX290" s="57"/>
      <c r="AY290" s="58"/>
      <c r="AZ290" s="58"/>
      <c r="BA290" s="58"/>
      <c r="BB290" s="58"/>
      <c r="BC290" s="57"/>
      <c r="BD290" s="58"/>
      <c r="BE290" s="58"/>
      <c r="BF290" s="58"/>
      <c r="BG290" s="58"/>
      <c r="BH290" s="57"/>
      <c r="BI290" s="57"/>
      <c r="BJ290" s="57"/>
      <c r="BK290" s="57"/>
      <c r="BL290" s="57"/>
    </row>
    <row r="291" spans="3:64" s="41" customFormat="1" ht="12.75" customHeight="1">
      <c r="C291" s="84" t="s">
        <v>129</v>
      </c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4"/>
      <c r="V291" s="114"/>
      <c r="W291" s="114"/>
      <c r="X291" s="114"/>
      <c r="Y291" s="115"/>
      <c r="Z291" s="58"/>
      <c r="AA291" s="58"/>
      <c r="AB291" s="58"/>
      <c r="AC291" s="58"/>
      <c r="AD291" s="57"/>
      <c r="AE291" s="114"/>
      <c r="AF291" s="114"/>
      <c r="AG291" s="114"/>
      <c r="AH291" s="114"/>
      <c r="AI291" s="115"/>
      <c r="AJ291" s="58"/>
      <c r="AK291" s="58"/>
      <c r="AL291" s="58"/>
      <c r="AM291" s="58"/>
      <c r="AN291" s="57"/>
      <c r="AO291" s="58"/>
      <c r="AP291" s="58"/>
      <c r="AQ291" s="58"/>
      <c r="AR291" s="39"/>
      <c r="AS291" s="98"/>
      <c r="AT291" s="39"/>
      <c r="AU291" s="39"/>
      <c r="AV291" s="39"/>
      <c r="AW291" s="39">
        <v>741</v>
      </c>
      <c r="AX291" s="98">
        <f t="shared" ref="AX291:AX301" si="1222">AW291</f>
        <v>741</v>
      </c>
      <c r="AY291" s="75">
        <f ca="1">AX291+AY334+AY344</f>
        <v>281.32377396361233</v>
      </c>
      <c r="AZ291" s="75">
        <f t="shared" ref="AZ291:BB291" ca="1" si="1223">AY291+AZ334+AZ344</f>
        <v>-125.10929546853276</v>
      </c>
      <c r="BA291" s="75">
        <f t="shared" ca="1" si="1223"/>
        <v>-771.10850751649423</v>
      </c>
      <c r="BB291" s="75">
        <f t="shared" ca="1" si="1223"/>
        <v>-868.40227905626807</v>
      </c>
      <c r="BC291" s="98">
        <f t="shared" ref="BC291:BC301" ca="1" si="1224">BB291</f>
        <v>-868.40227905626807</v>
      </c>
      <c r="BD291" s="75">
        <f t="shared" ref="BD291:BG291" ca="1" si="1225">BC291+BD334+BD344</f>
        <v>-1123.270634483267</v>
      </c>
      <c r="BE291" s="75">
        <f t="shared" ca="1" si="1225"/>
        <v>-1594.763033591883</v>
      </c>
      <c r="BF291" s="75">
        <f t="shared" ca="1" si="1225"/>
        <v>-2312.4625137721205</v>
      </c>
      <c r="BG291" s="75">
        <f t="shared" ca="1" si="1225"/>
        <v>-2675.2764194119263</v>
      </c>
      <c r="BH291" s="98">
        <f t="shared" ref="BH291:BH301" ca="1" si="1226">BG291</f>
        <v>-2675.2764194119263</v>
      </c>
      <c r="BI291" s="140">
        <f t="shared" ref="BI291:BL291" ca="1" si="1227">BH291+BI334+BI344</f>
        <v>-4853.2509110635883</v>
      </c>
      <c r="BJ291" s="140">
        <f t="shared" ca="1" si="1227"/>
        <v>-7397.6444808524411</v>
      </c>
      <c r="BK291" s="140">
        <f t="shared" ca="1" si="1227"/>
        <v>-10351.291149102433</v>
      </c>
      <c r="BL291" s="140">
        <f t="shared" ca="1" si="1227"/>
        <v>-13751.306196339674</v>
      </c>
    </row>
    <row r="292" spans="3:64" s="41" customFormat="1" ht="12.75" customHeight="1">
      <c r="C292" s="84" t="s">
        <v>108</v>
      </c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4"/>
      <c r="V292" s="114"/>
      <c r="W292" s="114"/>
      <c r="X292" s="114"/>
      <c r="Y292" s="57"/>
      <c r="Z292" s="114"/>
      <c r="AA292" s="114"/>
      <c r="AB292" s="114"/>
      <c r="AC292" s="114"/>
      <c r="AD292" s="115"/>
      <c r="AE292" s="114"/>
      <c r="AF292" s="114"/>
      <c r="AG292" s="114"/>
      <c r="AH292" s="114"/>
      <c r="AI292" s="115"/>
      <c r="AJ292" s="58"/>
      <c r="AK292" s="58"/>
      <c r="AL292" s="58"/>
      <c r="AM292" s="58"/>
      <c r="AN292" s="57"/>
      <c r="AO292" s="58"/>
      <c r="AP292" s="58"/>
      <c r="AQ292" s="58"/>
      <c r="AR292" s="39"/>
      <c r="AS292" s="98"/>
      <c r="AT292" s="39"/>
      <c r="AU292" s="39"/>
      <c r="AV292" s="39"/>
      <c r="AW292" s="39">
        <v>1242</v>
      </c>
      <c r="AX292" s="98">
        <f t="shared" si="1222"/>
        <v>1242</v>
      </c>
      <c r="AY292" s="75">
        <f t="shared" ref="AY292:BB295" si="1228">AX292+AY335</f>
        <v>1238.75</v>
      </c>
      <c r="AZ292" s="75">
        <f t="shared" si="1228"/>
        <v>1235.5</v>
      </c>
      <c r="BA292" s="75">
        <f t="shared" si="1228"/>
        <v>1232.25</v>
      </c>
      <c r="BB292" s="75">
        <f t="shared" si="1228"/>
        <v>1229</v>
      </c>
      <c r="BC292" s="98">
        <f t="shared" si="1224"/>
        <v>1229</v>
      </c>
      <c r="BD292" s="75">
        <f t="shared" ref="BD292:BG295" si="1229">BC292+BD335</f>
        <v>1225.75</v>
      </c>
      <c r="BE292" s="75">
        <f t="shared" si="1229"/>
        <v>1222.5</v>
      </c>
      <c r="BF292" s="75">
        <f t="shared" si="1229"/>
        <v>1219.25</v>
      </c>
      <c r="BG292" s="75">
        <f t="shared" si="1229"/>
        <v>1216</v>
      </c>
      <c r="BH292" s="98">
        <f t="shared" si="1226"/>
        <v>1216</v>
      </c>
      <c r="BI292" s="140">
        <f t="shared" ref="BI292:BL295" si="1230">BH292+BI335</f>
        <v>1216</v>
      </c>
      <c r="BJ292" s="140">
        <f t="shared" si="1230"/>
        <v>1216</v>
      </c>
      <c r="BK292" s="140">
        <f t="shared" si="1230"/>
        <v>1216</v>
      </c>
      <c r="BL292" s="140">
        <f t="shared" si="1230"/>
        <v>1216</v>
      </c>
    </row>
    <row r="293" spans="3:64" s="41" customFormat="1" ht="12.75" customHeight="1">
      <c r="C293" s="84" t="s">
        <v>109</v>
      </c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4"/>
      <c r="V293" s="114"/>
      <c r="W293" s="114"/>
      <c r="X293" s="114"/>
      <c r="Y293" s="57"/>
      <c r="Z293" s="114"/>
      <c r="AA293" s="114"/>
      <c r="AB293" s="114"/>
      <c r="AC293" s="114"/>
      <c r="AD293" s="115"/>
      <c r="AE293" s="114"/>
      <c r="AF293" s="114"/>
      <c r="AG293" s="114"/>
      <c r="AH293" s="114"/>
      <c r="AI293" s="115"/>
      <c r="AJ293" s="58"/>
      <c r="AK293" s="58"/>
      <c r="AL293" s="58"/>
      <c r="AM293" s="58"/>
      <c r="AN293" s="57"/>
      <c r="AO293" s="58"/>
      <c r="AP293" s="58"/>
      <c r="AQ293" s="58"/>
      <c r="AR293" s="39"/>
      <c r="AS293" s="98"/>
      <c r="AT293" s="39"/>
      <c r="AU293" s="39"/>
      <c r="AV293" s="39"/>
      <c r="AW293" s="39">
        <v>490</v>
      </c>
      <c r="AX293" s="98">
        <f t="shared" si="1222"/>
        <v>490</v>
      </c>
      <c r="AY293" s="75">
        <f t="shared" si="1228"/>
        <v>488.75</v>
      </c>
      <c r="AZ293" s="75">
        <f t="shared" si="1228"/>
        <v>487.5</v>
      </c>
      <c r="BA293" s="75">
        <f t="shared" si="1228"/>
        <v>486.25</v>
      </c>
      <c r="BB293" s="75">
        <f t="shared" si="1228"/>
        <v>485</v>
      </c>
      <c r="BC293" s="98">
        <f t="shared" si="1224"/>
        <v>485</v>
      </c>
      <c r="BD293" s="75">
        <f t="shared" si="1229"/>
        <v>483.75</v>
      </c>
      <c r="BE293" s="75">
        <f t="shared" si="1229"/>
        <v>482.5</v>
      </c>
      <c r="BF293" s="75">
        <f t="shared" si="1229"/>
        <v>481.25</v>
      </c>
      <c r="BG293" s="75">
        <f t="shared" si="1229"/>
        <v>480</v>
      </c>
      <c r="BH293" s="98">
        <f t="shared" si="1226"/>
        <v>480</v>
      </c>
      <c r="BI293" s="140">
        <f t="shared" si="1230"/>
        <v>480</v>
      </c>
      <c r="BJ293" s="140">
        <f t="shared" si="1230"/>
        <v>480</v>
      </c>
      <c r="BK293" s="140">
        <f t="shared" si="1230"/>
        <v>480</v>
      </c>
      <c r="BL293" s="140">
        <f t="shared" si="1230"/>
        <v>480</v>
      </c>
    </row>
    <row r="294" spans="3:64" s="41" customFormat="1" ht="12.75" customHeight="1">
      <c r="C294" s="84" t="s">
        <v>110</v>
      </c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4"/>
      <c r="V294" s="114"/>
      <c r="W294" s="114"/>
      <c r="X294" s="114"/>
      <c r="Y294" s="57"/>
      <c r="Z294" s="114"/>
      <c r="AA294" s="114"/>
      <c r="AB294" s="114"/>
      <c r="AC294" s="114"/>
      <c r="AD294" s="115"/>
      <c r="AE294" s="114"/>
      <c r="AF294" s="114"/>
      <c r="AG294" s="114"/>
      <c r="AH294" s="114"/>
      <c r="AI294" s="115"/>
      <c r="AJ294" s="58"/>
      <c r="AK294" s="58"/>
      <c r="AL294" s="58"/>
      <c r="AM294" s="58"/>
      <c r="AN294" s="57"/>
      <c r="AO294" s="58"/>
      <c r="AP294" s="58"/>
      <c r="AQ294" s="58"/>
      <c r="AR294" s="39"/>
      <c r="AS294" s="98"/>
      <c r="AT294" s="39"/>
      <c r="AU294" s="39"/>
      <c r="AV294" s="39"/>
      <c r="AW294" s="39">
        <v>245</v>
      </c>
      <c r="AX294" s="98">
        <f t="shared" si="1222"/>
        <v>245</v>
      </c>
      <c r="AY294" s="75">
        <f t="shared" si="1228"/>
        <v>245</v>
      </c>
      <c r="AZ294" s="75">
        <f t="shared" si="1228"/>
        <v>245</v>
      </c>
      <c r="BA294" s="75">
        <f t="shared" si="1228"/>
        <v>245</v>
      </c>
      <c r="BB294" s="75">
        <f t="shared" si="1228"/>
        <v>245</v>
      </c>
      <c r="BC294" s="98">
        <f t="shared" si="1224"/>
        <v>245</v>
      </c>
      <c r="BD294" s="75">
        <f t="shared" si="1229"/>
        <v>245</v>
      </c>
      <c r="BE294" s="75">
        <f t="shared" si="1229"/>
        <v>245</v>
      </c>
      <c r="BF294" s="75">
        <f t="shared" si="1229"/>
        <v>245</v>
      </c>
      <c r="BG294" s="75">
        <f t="shared" si="1229"/>
        <v>245</v>
      </c>
      <c r="BH294" s="98">
        <f t="shared" si="1226"/>
        <v>245</v>
      </c>
      <c r="BI294" s="140">
        <f t="shared" si="1230"/>
        <v>245</v>
      </c>
      <c r="BJ294" s="140">
        <f t="shared" si="1230"/>
        <v>245</v>
      </c>
      <c r="BK294" s="140">
        <f t="shared" si="1230"/>
        <v>245</v>
      </c>
      <c r="BL294" s="140">
        <f t="shared" si="1230"/>
        <v>245</v>
      </c>
    </row>
    <row r="295" spans="3:64" s="41" customFormat="1" ht="12.75" customHeight="1">
      <c r="C295" s="84" t="s">
        <v>111</v>
      </c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4"/>
      <c r="V295" s="114"/>
      <c r="W295" s="114"/>
      <c r="X295" s="114"/>
      <c r="Y295" s="57"/>
      <c r="Z295" s="114"/>
      <c r="AA295" s="114"/>
      <c r="AB295" s="114"/>
      <c r="AC295" s="114"/>
      <c r="AD295" s="115"/>
      <c r="AE295" s="114"/>
      <c r="AF295" s="114"/>
      <c r="AG295" s="114"/>
      <c r="AH295" s="114"/>
      <c r="AI295" s="115"/>
      <c r="AJ295" s="58"/>
      <c r="AK295" s="58"/>
      <c r="AL295" s="58"/>
      <c r="AM295" s="58"/>
      <c r="AN295" s="57"/>
      <c r="AO295" s="58"/>
      <c r="AP295" s="58"/>
      <c r="AQ295" s="58"/>
      <c r="AR295" s="39"/>
      <c r="AS295" s="98"/>
      <c r="AT295" s="39"/>
      <c r="AU295" s="39"/>
      <c r="AV295" s="39"/>
      <c r="AW295" s="39">
        <v>1250</v>
      </c>
      <c r="AX295" s="98">
        <f t="shared" si="1222"/>
        <v>1250</v>
      </c>
      <c r="AY295" s="75">
        <f t="shared" si="1228"/>
        <v>1250</v>
      </c>
      <c r="AZ295" s="75">
        <f t="shared" si="1228"/>
        <v>1250</v>
      </c>
      <c r="BA295" s="75">
        <f t="shared" si="1228"/>
        <v>1250</v>
      </c>
      <c r="BB295" s="75">
        <f t="shared" si="1228"/>
        <v>1250</v>
      </c>
      <c r="BC295" s="98">
        <f t="shared" si="1224"/>
        <v>1250</v>
      </c>
      <c r="BD295" s="75">
        <f t="shared" si="1229"/>
        <v>1250</v>
      </c>
      <c r="BE295" s="75">
        <f t="shared" si="1229"/>
        <v>1250</v>
      </c>
      <c r="BF295" s="75">
        <f t="shared" si="1229"/>
        <v>1250</v>
      </c>
      <c r="BG295" s="75">
        <f t="shared" si="1229"/>
        <v>1250</v>
      </c>
      <c r="BH295" s="98">
        <f t="shared" si="1226"/>
        <v>1250</v>
      </c>
      <c r="BI295" s="140">
        <f t="shared" si="1230"/>
        <v>1250</v>
      </c>
      <c r="BJ295" s="140">
        <f t="shared" si="1230"/>
        <v>1250</v>
      </c>
      <c r="BK295" s="140">
        <f t="shared" si="1230"/>
        <v>1250</v>
      </c>
      <c r="BL295" s="140">
        <f t="shared" si="1230"/>
        <v>1250</v>
      </c>
    </row>
    <row r="296" spans="3:64" s="41" customFormat="1" ht="12.75" customHeight="1">
      <c r="C296" s="84" t="s">
        <v>127</v>
      </c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4"/>
      <c r="V296" s="114"/>
      <c r="W296" s="114"/>
      <c r="X296" s="114"/>
      <c r="Y296" s="57"/>
      <c r="Z296" s="114"/>
      <c r="AA296" s="114"/>
      <c r="AB296" s="114"/>
      <c r="AC296" s="114"/>
      <c r="AD296" s="115"/>
      <c r="AE296" s="114"/>
      <c r="AF296" s="114"/>
      <c r="AG296" s="114"/>
      <c r="AH296" s="114"/>
      <c r="AI296" s="115"/>
      <c r="AJ296" s="58"/>
      <c r="AK296" s="58"/>
      <c r="AL296" s="58"/>
      <c r="AM296" s="58"/>
      <c r="AN296" s="57"/>
      <c r="AO296" s="58"/>
      <c r="AP296" s="58"/>
      <c r="AQ296" s="58"/>
      <c r="AR296" s="39"/>
      <c r="AS296" s="98"/>
      <c r="AT296" s="39"/>
      <c r="AU296" s="39"/>
      <c r="AV296" s="39"/>
      <c r="AW296" s="39">
        <v>271</v>
      </c>
      <c r="AX296" s="98">
        <f t="shared" si="1222"/>
        <v>271</v>
      </c>
      <c r="AY296" s="75">
        <f>AX296+AY339+AY359</f>
        <v>281.83999999999997</v>
      </c>
      <c r="AZ296" s="75">
        <f t="shared" ref="AZ296:BB296" si="1231">AY296+AZ339+AZ359</f>
        <v>281.83999999999997</v>
      </c>
      <c r="BA296" s="75">
        <f t="shared" si="1231"/>
        <v>293.11359999999996</v>
      </c>
      <c r="BB296" s="75">
        <f t="shared" si="1231"/>
        <v>293.11359999999996</v>
      </c>
      <c r="BC296" s="98">
        <f t="shared" ref="BC296:BC300" si="1232">BB296</f>
        <v>293.11359999999996</v>
      </c>
      <c r="BD296" s="75">
        <f>BC296+BD339+BD359</f>
        <v>304.83814399999994</v>
      </c>
      <c r="BE296" s="75">
        <f t="shared" ref="BE296:BL296" si="1233">BD296+BE339+BE359</f>
        <v>304.83814399999994</v>
      </c>
      <c r="BF296" s="75">
        <f t="shared" si="1233"/>
        <v>317.03166975999994</v>
      </c>
      <c r="BG296" s="75">
        <f t="shared" si="1233"/>
        <v>317.03166975999994</v>
      </c>
      <c r="BH296" s="98">
        <f t="shared" ref="BH296:BH300" si="1234">BG296</f>
        <v>317.03166975999994</v>
      </c>
      <c r="BI296" s="140">
        <f t="shared" si="1233"/>
        <v>342.39420334079995</v>
      </c>
      <c r="BJ296" s="140">
        <f t="shared" si="1233"/>
        <v>369.78573960806392</v>
      </c>
      <c r="BK296" s="140">
        <f t="shared" si="1233"/>
        <v>399.36859877670906</v>
      </c>
      <c r="BL296" s="140">
        <f t="shared" si="1233"/>
        <v>431.31808667884582</v>
      </c>
    </row>
    <row r="297" spans="3:64" s="41" customFormat="1" ht="12.75" customHeight="1">
      <c r="C297" s="84" t="s">
        <v>113</v>
      </c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4"/>
      <c r="V297" s="114"/>
      <c r="W297" s="114"/>
      <c r="X297" s="114"/>
      <c r="Y297" s="57"/>
      <c r="Z297" s="114"/>
      <c r="AA297" s="114"/>
      <c r="AB297" s="114"/>
      <c r="AC297" s="114"/>
      <c r="AD297" s="115"/>
      <c r="AE297" s="114"/>
      <c r="AF297" s="114"/>
      <c r="AG297" s="114"/>
      <c r="AH297" s="114"/>
      <c r="AI297" s="115"/>
      <c r="AJ297" s="58"/>
      <c r="AK297" s="58"/>
      <c r="AL297" s="58"/>
      <c r="AM297" s="58"/>
      <c r="AN297" s="57"/>
      <c r="AO297" s="58"/>
      <c r="AP297" s="58"/>
      <c r="AQ297" s="58"/>
      <c r="AR297" s="39"/>
      <c r="AS297" s="98"/>
      <c r="AT297" s="39"/>
      <c r="AU297" s="39"/>
      <c r="AV297" s="39"/>
      <c r="AW297" s="39">
        <v>425</v>
      </c>
      <c r="AX297" s="98">
        <f t="shared" si="1222"/>
        <v>425</v>
      </c>
      <c r="AY297" s="75">
        <f t="shared" ref="AY297:BB300" si="1235">AX297+AY340</f>
        <v>425</v>
      </c>
      <c r="AZ297" s="75">
        <f t="shared" si="1235"/>
        <v>425</v>
      </c>
      <c r="BA297" s="75">
        <f t="shared" si="1235"/>
        <v>425</v>
      </c>
      <c r="BB297" s="75">
        <f t="shared" si="1235"/>
        <v>425</v>
      </c>
      <c r="BC297" s="98">
        <f t="shared" si="1232"/>
        <v>425</v>
      </c>
      <c r="BD297" s="75">
        <f t="shared" ref="BD297:BG300" si="1236">BC297+BD340</f>
        <v>425</v>
      </c>
      <c r="BE297" s="75">
        <f t="shared" si="1236"/>
        <v>425</v>
      </c>
      <c r="BF297" s="75">
        <f t="shared" si="1236"/>
        <v>425</v>
      </c>
      <c r="BG297" s="75">
        <f t="shared" si="1236"/>
        <v>425</v>
      </c>
      <c r="BH297" s="98">
        <f t="shared" si="1234"/>
        <v>425</v>
      </c>
      <c r="BI297" s="140">
        <f t="shared" ref="BI297:BL300" si="1237">BH297+BI340</f>
        <v>425</v>
      </c>
      <c r="BJ297" s="140">
        <f t="shared" si="1237"/>
        <v>425</v>
      </c>
      <c r="BK297" s="140">
        <f t="shared" si="1237"/>
        <v>425</v>
      </c>
      <c r="BL297" s="140">
        <f t="shared" si="1237"/>
        <v>425</v>
      </c>
    </row>
    <row r="298" spans="3:64" s="41" customFormat="1" ht="12.75" customHeight="1">
      <c r="C298" s="84" t="s">
        <v>114</v>
      </c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4"/>
      <c r="V298" s="114"/>
      <c r="W298" s="114"/>
      <c r="X298" s="114"/>
      <c r="Y298" s="57"/>
      <c r="Z298" s="114"/>
      <c r="AA298" s="114"/>
      <c r="AB298" s="114"/>
      <c r="AC298" s="114"/>
      <c r="AD298" s="115"/>
      <c r="AE298" s="114"/>
      <c r="AF298" s="114"/>
      <c r="AG298" s="114"/>
      <c r="AH298" s="114"/>
      <c r="AI298" s="115"/>
      <c r="AJ298" s="58"/>
      <c r="AK298" s="58"/>
      <c r="AL298" s="58"/>
      <c r="AM298" s="58"/>
      <c r="AN298" s="57"/>
      <c r="AO298" s="58"/>
      <c r="AP298" s="58"/>
      <c r="AQ298" s="58"/>
      <c r="AR298" s="39"/>
      <c r="AS298" s="98"/>
      <c r="AT298" s="39"/>
      <c r="AU298" s="39"/>
      <c r="AV298" s="39"/>
      <c r="AW298" s="39">
        <v>200</v>
      </c>
      <c r="AX298" s="98">
        <f t="shared" si="1222"/>
        <v>200</v>
      </c>
      <c r="AY298" s="75">
        <f t="shared" si="1235"/>
        <v>200</v>
      </c>
      <c r="AZ298" s="75">
        <f t="shared" si="1235"/>
        <v>200</v>
      </c>
      <c r="BA298" s="75">
        <f t="shared" si="1235"/>
        <v>200</v>
      </c>
      <c r="BB298" s="75">
        <f t="shared" si="1235"/>
        <v>0</v>
      </c>
      <c r="BC298" s="98">
        <f t="shared" si="1232"/>
        <v>0</v>
      </c>
      <c r="BD298" s="75">
        <f t="shared" si="1236"/>
        <v>0</v>
      </c>
      <c r="BE298" s="75">
        <f t="shared" si="1236"/>
        <v>0</v>
      </c>
      <c r="BF298" s="75">
        <f t="shared" si="1236"/>
        <v>0</v>
      </c>
      <c r="BG298" s="75">
        <f t="shared" si="1236"/>
        <v>0</v>
      </c>
      <c r="BH298" s="98">
        <f t="shared" si="1234"/>
        <v>0</v>
      </c>
      <c r="BI298" s="140">
        <f t="shared" si="1237"/>
        <v>0</v>
      </c>
      <c r="BJ298" s="140">
        <f t="shared" si="1237"/>
        <v>0</v>
      </c>
      <c r="BK298" s="140">
        <f t="shared" si="1237"/>
        <v>0</v>
      </c>
      <c r="BL298" s="140">
        <f t="shared" si="1237"/>
        <v>0</v>
      </c>
    </row>
    <row r="299" spans="3:64" s="41" customFormat="1" ht="12.75" customHeight="1">
      <c r="C299" s="84" t="s">
        <v>115</v>
      </c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4"/>
      <c r="V299" s="114"/>
      <c r="W299" s="114"/>
      <c r="X299" s="114"/>
      <c r="Y299" s="57"/>
      <c r="Z299" s="114"/>
      <c r="AA299" s="114"/>
      <c r="AB299" s="114"/>
      <c r="AC299" s="114"/>
      <c r="AD299" s="115"/>
      <c r="AE299" s="114"/>
      <c r="AF299" s="114"/>
      <c r="AG299" s="114"/>
      <c r="AH299" s="114"/>
      <c r="AI299" s="115"/>
      <c r="AJ299" s="58"/>
      <c r="AK299" s="58"/>
      <c r="AL299" s="58"/>
      <c r="AM299" s="58"/>
      <c r="AN299" s="57"/>
      <c r="AO299" s="58"/>
      <c r="AP299" s="58"/>
      <c r="AQ299" s="58"/>
      <c r="AR299" s="39"/>
      <c r="AS299" s="98"/>
      <c r="AT299" s="39"/>
      <c r="AU299" s="39"/>
      <c r="AV299" s="39"/>
      <c r="AW299" s="39">
        <v>1000</v>
      </c>
      <c r="AX299" s="98">
        <f t="shared" si="1222"/>
        <v>1000</v>
      </c>
      <c r="AY299" s="75">
        <f t="shared" si="1235"/>
        <v>1000</v>
      </c>
      <c r="AZ299" s="75">
        <f t="shared" si="1235"/>
        <v>1000</v>
      </c>
      <c r="BA299" s="75">
        <f t="shared" si="1235"/>
        <v>1000</v>
      </c>
      <c r="BB299" s="75">
        <f t="shared" si="1235"/>
        <v>1000</v>
      </c>
      <c r="BC299" s="98">
        <f t="shared" si="1232"/>
        <v>1000</v>
      </c>
      <c r="BD299" s="75">
        <f t="shared" si="1236"/>
        <v>1000</v>
      </c>
      <c r="BE299" s="75">
        <f t="shared" si="1236"/>
        <v>1000</v>
      </c>
      <c r="BF299" s="75">
        <f t="shared" si="1236"/>
        <v>1000</v>
      </c>
      <c r="BG299" s="75">
        <f t="shared" si="1236"/>
        <v>1000</v>
      </c>
      <c r="BH299" s="98">
        <f t="shared" si="1234"/>
        <v>1000</v>
      </c>
      <c r="BI299" s="140">
        <f t="shared" si="1237"/>
        <v>1000</v>
      </c>
      <c r="BJ299" s="140">
        <f t="shared" si="1237"/>
        <v>1000</v>
      </c>
      <c r="BK299" s="140">
        <f t="shared" si="1237"/>
        <v>1000</v>
      </c>
      <c r="BL299" s="140">
        <f t="shared" si="1237"/>
        <v>1000</v>
      </c>
    </row>
    <row r="300" spans="3:64" s="41" customFormat="1" ht="12.75" customHeight="1">
      <c r="C300" s="84" t="s">
        <v>116</v>
      </c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4"/>
      <c r="V300" s="114"/>
      <c r="W300" s="114"/>
      <c r="X300" s="114"/>
      <c r="Y300" s="57"/>
      <c r="Z300" s="114"/>
      <c r="AA300" s="114"/>
      <c r="AB300" s="114"/>
      <c r="AC300" s="114"/>
      <c r="AD300" s="115"/>
      <c r="AE300" s="114"/>
      <c r="AF300" s="114"/>
      <c r="AG300" s="114"/>
      <c r="AH300" s="114"/>
      <c r="AI300" s="115"/>
      <c r="AJ300" s="58"/>
      <c r="AK300" s="58"/>
      <c r="AL300" s="58"/>
      <c r="AM300" s="58"/>
      <c r="AN300" s="57"/>
      <c r="AO300" s="58"/>
      <c r="AP300" s="58"/>
      <c r="AQ300" s="58"/>
      <c r="AR300" s="39"/>
      <c r="AS300" s="98"/>
      <c r="AT300" s="39"/>
      <c r="AU300" s="39"/>
      <c r="AV300" s="39"/>
      <c r="AW300" s="39">
        <v>6</v>
      </c>
      <c r="AX300" s="98">
        <f t="shared" si="1222"/>
        <v>6</v>
      </c>
      <c r="AY300" s="75">
        <f t="shared" si="1235"/>
        <v>6</v>
      </c>
      <c r="AZ300" s="75">
        <f t="shared" si="1235"/>
        <v>6</v>
      </c>
      <c r="BA300" s="75">
        <f t="shared" si="1235"/>
        <v>6</v>
      </c>
      <c r="BB300" s="75">
        <f t="shared" si="1235"/>
        <v>6</v>
      </c>
      <c r="BC300" s="98">
        <f t="shared" si="1232"/>
        <v>6</v>
      </c>
      <c r="BD300" s="75">
        <f t="shared" si="1236"/>
        <v>6</v>
      </c>
      <c r="BE300" s="75">
        <f t="shared" si="1236"/>
        <v>6</v>
      </c>
      <c r="BF300" s="75">
        <f t="shared" si="1236"/>
        <v>6</v>
      </c>
      <c r="BG300" s="75">
        <f t="shared" si="1236"/>
        <v>6</v>
      </c>
      <c r="BH300" s="98">
        <f t="shared" si="1234"/>
        <v>6</v>
      </c>
      <c r="BI300" s="140">
        <f t="shared" si="1237"/>
        <v>6</v>
      </c>
      <c r="BJ300" s="140">
        <f t="shared" si="1237"/>
        <v>6</v>
      </c>
      <c r="BK300" s="140">
        <f t="shared" si="1237"/>
        <v>6</v>
      </c>
      <c r="BL300" s="140">
        <f t="shared" si="1237"/>
        <v>6</v>
      </c>
    </row>
    <row r="301" spans="3:64" s="41" customFormat="1" ht="12.75" customHeight="1">
      <c r="C301" s="84" t="s">
        <v>72</v>
      </c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4"/>
      <c r="V301" s="114"/>
      <c r="W301" s="114"/>
      <c r="X301" s="114"/>
      <c r="Y301" s="57"/>
      <c r="Z301" s="114"/>
      <c r="AA301" s="114"/>
      <c r="AB301" s="114"/>
      <c r="AC301" s="114"/>
      <c r="AD301" s="115"/>
      <c r="AE301" s="114"/>
      <c r="AF301" s="114"/>
      <c r="AG301" s="114"/>
      <c r="AH301" s="114"/>
      <c r="AI301" s="115"/>
      <c r="AJ301" s="58"/>
      <c r="AK301" s="58"/>
      <c r="AL301" s="58"/>
      <c r="AM301" s="58"/>
      <c r="AN301" s="57"/>
      <c r="AO301" s="58"/>
      <c r="AP301" s="58"/>
      <c r="AQ301" s="58"/>
      <c r="AR301" s="70"/>
      <c r="AS301" s="128"/>
      <c r="AT301" s="70"/>
      <c r="AU301" s="70"/>
      <c r="AV301" s="70"/>
      <c r="AW301" s="70">
        <v>0</v>
      </c>
      <c r="AX301" s="128">
        <f t="shared" si="1222"/>
        <v>0</v>
      </c>
      <c r="AY301" s="137">
        <f>AX301</f>
        <v>0</v>
      </c>
      <c r="AZ301" s="137">
        <f t="shared" ref="AZ301:BB301" si="1238">AY301</f>
        <v>0</v>
      </c>
      <c r="BA301" s="137">
        <f t="shared" si="1238"/>
        <v>0</v>
      </c>
      <c r="BB301" s="137">
        <f t="shared" si="1238"/>
        <v>0</v>
      </c>
      <c r="BC301" s="128">
        <f t="shared" si="1224"/>
        <v>0</v>
      </c>
      <c r="BD301" s="137">
        <f>BC301</f>
        <v>0</v>
      </c>
      <c r="BE301" s="137">
        <f t="shared" ref="BE301:BG301" si="1239">BD301</f>
        <v>0</v>
      </c>
      <c r="BF301" s="137">
        <f t="shared" si="1239"/>
        <v>0</v>
      </c>
      <c r="BG301" s="137">
        <f t="shared" si="1239"/>
        <v>0</v>
      </c>
      <c r="BH301" s="128">
        <f t="shared" si="1226"/>
        <v>0</v>
      </c>
      <c r="BI301" s="138">
        <f>BH301</f>
        <v>0</v>
      </c>
      <c r="BJ301" s="138">
        <f t="shared" ref="BJ301:BL301" si="1240">BI301</f>
        <v>0</v>
      </c>
      <c r="BK301" s="138">
        <f t="shared" si="1240"/>
        <v>0</v>
      </c>
      <c r="BL301" s="138">
        <f t="shared" si="1240"/>
        <v>0</v>
      </c>
    </row>
    <row r="302" spans="3:64" s="41" customFormat="1" ht="12.75" customHeight="1">
      <c r="C302" s="41" t="s">
        <v>73</v>
      </c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8"/>
      <c r="V302" s="58"/>
      <c r="W302" s="58"/>
      <c r="X302" s="58"/>
      <c r="Y302" s="57"/>
      <c r="Z302" s="58"/>
      <c r="AA302" s="58"/>
      <c r="AB302" s="58"/>
      <c r="AC302" s="58"/>
      <c r="AD302" s="57"/>
      <c r="AE302" s="58"/>
      <c r="AF302" s="58"/>
      <c r="AG302" s="58"/>
      <c r="AH302" s="58"/>
      <c r="AI302" s="57"/>
      <c r="AJ302" s="58"/>
      <c r="AK302" s="58"/>
      <c r="AL302" s="58"/>
      <c r="AM302" s="58"/>
      <c r="AN302" s="57"/>
      <c r="AO302" s="58"/>
      <c r="AP302" s="58"/>
      <c r="AQ302" s="58"/>
      <c r="AR302" s="125"/>
      <c r="AS302" s="49"/>
      <c r="AW302" s="41">
        <f t="shared" ref="AW302:BL302" si="1241">SUM(AW291:AW301)</f>
        <v>5870</v>
      </c>
      <c r="AX302" s="49">
        <f t="shared" si="1241"/>
        <v>5870</v>
      </c>
      <c r="AY302" s="41">
        <f t="shared" ca="1" si="1241"/>
        <v>5416.6637739636126</v>
      </c>
      <c r="AZ302" s="41">
        <f t="shared" ca="1" si="1241"/>
        <v>5005.7307045314674</v>
      </c>
      <c r="BA302" s="41">
        <f t="shared" ca="1" si="1241"/>
        <v>4366.5050924835059</v>
      </c>
      <c r="BB302" s="41">
        <f t="shared" ca="1" si="1241"/>
        <v>4064.7113209437321</v>
      </c>
      <c r="BC302" s="49">
        <f t="shared" ca="1" si="1241"/>
        <v>4064.7113209437321</v>
      </c>
      <c r="BD302" s="41">
        <f t="shared" ca="1" si="1241"/>
        <v>3817.067509516733</v>
      </c>
      <c r="BE302" s="41">
        <f t="shared" ca="1" si="1241"/>
        <v>3341.0751104081169</v>
      </c>
      <c r="BF302" s="41">
        <f t="shared" ca="1" si="1241"/>
        <v>2631.0691559878796</v>
      </c>
      <c r="BG302" s="41">
        <f t="shared" ca="1" si="1241"/>
        <v>2263.7552503480738</v>
      </c>
      <c r="BH302" s="49">
        <f t="shared" ca="1" si="1241"/>
        <v>2263.7552503480738</v>
      </c>
      <c r="BI302" s="49">
        <f t="shared" ca="1" si="1241"/>
        <v>111.14329227721169</v>
      </c>
      <c r="BJ302" s="49">
        <f t="shared" ca="1" si="1241"/>
        <v>-2405.8587412443771</v>
      </c>
      <c r="BK302" s="49">
        <f t="shared" ca="1" si="1241"/>
        <v>-5329.9225503257239</v>
      </c>
      <c r="BL302" s="49">
        <f t="shared" ca="1" si="1241"/>
        <v>-8697.9881096608278</v>
      </c>
    </row>
    <row r="303" spans="3:64" s="84" customFormat="1" ht="12.75" customHeight="1">
      <c r="C303" s="84" t="s">
        <v>304</v>
      </c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10"/>
      <c r="V303" s="110"/>
      <c r="W303" s="110"/>
      <c r="X303" s="110"/>
      <c r="Y303" s="109"/>
      <c r="Z303" s="110"/>
      <c r="AA303" s="110"/>
      <c r="AB303" s="110"/>
      <c r="AC303" s="110"/>
      <c r="AD303" s="109"/>
      <c r="AE303" s="110"/>
      <c r="AF303" s="110"/>
      <c r="AG303" s="110"/>
      <c r="AH303" s="110"/>
      <c r="AI303" s="109"/>
      <c r="AJ303" s="110"/>
      <c r="AK303" s="110"/>
      <c r="AL303" s="110"/>
      <c r="AM303" s="110"/>
      <c r="AN303" s="109"/>
      <c r="AO303" s="110"/>
      <c r="AP303" s="110"/>
      <c r="AQ303" s="110"/>
      <c r="AR303" s="82"/>
      <c r="AS303" s="98"/>
      <c r="AW303" s="84">
        <f>AW302-AW30</f>
        <v>99</v>
      </c>
      <c r="AX303" s="98">
        <f>AW303</f>
        <v>99</v>
      </c>
      <c r="AY303" s="75">
        <f>AX303</f>
        <v>99</v>
      </c>
      <c r="AZ303" s="75">
        <f t="shared" ref="AZ303:BB303" si="1242">AY303</f>
        <v>99</v>
      </c>
      <c r="BA303" s="75">
        <f t="shared" si="1242"/>
        <v>99</v>
      </c>
      <c r="BB303" s="75">
        <f t="shared" si="1242"/>
        <v>99</v>
      </c>
      <c r="BC303" s="98">
        <f>BB303</f>
        <v>99</v>
      </c>
      <c r="BD303" s="75">
        <f>BC303</f>
        <v>99</v>
      </c>
      <c r="BE303" s="75">
        <f t="shared" ref="BE303:BG303" si="1243">BD303</f>
        <v>99</v>
      </c>
      <c r="BF303" s="75">
        <f t="shared" si="1243"/>
        <v>99</v>
      </c>
      <c r="BG303" s="75">
        <f t="shared" si="1243"/>
        <v>99</v>
      </c>
      <c r="BH303" s="98">
        <f>BG303</f>
        <v>99</v>
      </c>
      <c r="BI303" s="140">
        <f>BH303</f>
        <v>99</v>
      </c>
      <c r="BJ303" s="140">
        <f t="shared" ref="BJ303:BL303" si="1244">BI303</f>
        <v>99</v>
      </c>
      <c r="BK303" s="140">
        <f t="shared" si="1244"/>
        <v>99</v>
      </c>
      <c r="BL303" s="140">
        <f t="shared" si="1244"/>
        <v>99</v>
      </c>
    </row>
    <row r="304" spans="3:64" s="41" customFormat="1" ht="12.75" customHeight="1"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8"/>
      <c r="V304" s="58"/>
      <c r="W304" s="58"/>
      <c r="X304" s="58"/>
      <c r="Y304" s="57"/>
      <c r="Z304" s="58"/>
      <c r="AA304" s="58"/>
      <c r="AB304" s="58"/>
      <c r="AC304" s="58"/>
      <c r="AD304" s="57"/>
      <c r="AE304" s="58"/>
      <c r="AF304" s="58"/>
      <c r="AG304" s="58"/>
      <c r="AH304" s="58"/>
      <c r="AI304" s="57"/>
      <c r="AJ304" s="58"/>
      <c r="AK304" s="58"/>
      <c r="AL304" s="58"/>
      <c r="AM304" s="58"/>
      <c r="AN304" s="57"/>
      <c r="AO304" s="58"/>
      <c r="AP304" s="58"/>
      <c r="AQ304" s="58"/>
      <c r="AR304" s="125"/>
      <c r="AS304" s="49"/>
      <c r="AX304" s="49"/>
      <c r="BC304" s="49"/>
      <c r="BH304" s="49"/>
      <c r="BI304" s="49"/>
      <c r="BJ304" s="49"/>
      <c r="BK304" s="49"/>
      <c r="BL304" s="49"/>
    </row>
    <row r="305" spans="3:64" s="41" customFormat="1" ht="17.399999999999999" customHeight="1">
      <c r="C305" s="135" t="s">
        <v>77</v>
      </c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115"/>
      <c r="U305" s="114"/>
      <c r="V305" s="114"/>
      <c r="W305" s="114"/>
      <c r="X305" s="114"/>
      <c r="Y305" s="57"/>
      <c r="Z305" s="114"/>
      <c r="AA305" s="114"/>
      <c r="AB305" s="114"/>
      <c r="AC305" s="114"/>
      <c r="AD305" s="115"/>
      <c r="AE305" s="114"/>
      <c r="AF305" s="114"/>
      <c r="AG305" s="114"/>
      <c r="AH305" s="114"/>
      <c r="AI305" s="115"/>
      <c r="AJ305" s="58"/>
      <c r="AK305" s="58"/>
      <c r="AL305" s="58"/>
      <c r="AM305" s="58"/>
      <c r="AN305" s="57"/>
      <c r="AO305" s="58"/>
      <c r="AP305" s="58"/>
      <c r="AQ305" s="58"/>
      <c r="AR305" s="58"/>
      <c r="AS305" s="57"/>
      <c r="AT305" s="58"/>
      <c r="AU305" s="58"/>
      <c r="AV305" s="58"/>
      <c r="AW305" s="58"/>
      <c r="AX305" s="57"/>
      <c r="AY305" s="58"/>
      <c r="AZ305" s="58"/>
      <c r="BA305" s="58"/>
      <c r="BB305" s="58"/>
      <c r="BC305" s="57"/>
      <c r="BD305" s="58"/>
      <c r="BE305" s="58"/>
      <c r="BF305" s="58"/>
      <c r="BG305" s="58"/>
      <c r="BH305" s="57"/>
      <c r="BI305" s="57"/>
      <c r="BJ305" s="57"/>
      <c r="BK305" s="57"/>
      <c r="BL305" s="57"/>
    </row>
    <row r="306" spans="3:64" s="41" customFormat="1" ht="12.75" customHeight="1">
      <c r="C306" s="84" t="s">
        <v>129</v>
      </c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115"/>
      <c r="U306" s="114"/>
      <c r="V306" s="114"/>
      <c r="W306" s="114"/>
      <c r="X306" s="114"/>
      <c r="Y306" s="57"/>
      <c r="Z306" s="114"/>
      <c r="AA306" s="114"/>
      <c r="AB306" s="114"/>
      <c r="AC306" s="114"/>
      <c r="AD306" s="115"/>
      <c r="AE306" s="114"/>
      <c r="AF306" s="114"/>
      <c r="AG306" s="114"/>
      <c r="AH306" s="114"/>
      <c r="AI306" s="115"/>
      <c r="AJ306" s="58"/>
      <c r="AK306" s="58"/>
      <c r="AL306" s="58"/>
      <c r="AM306" s="58"/>
      <c r="AN306" s="57"/>
      <c r="AO306" s="58"/>
      <c r="AP306" s="58"/>
      <c r="AQ306" s="58"/>
      <c r="AR306" s="141"/>
      <c r="AS306" s="57"/>
      <c r="AT306" s="142"/>
      <c r="AU306" s="142"/>
      <c r="AV306" s="142"/>
      <c r="AW306" s="142">
        <v>8.2799999999999999E-2</v>
      </c>
      <c r="AX306" s="57"/>
      <c r="AY306" s="142">
        <v>8.2799999999999999E-2</v>
      </c>
      <c r="AZ306" s="142">
        <v>8.2799999999999999E-2</v>
      </c>
      <c r="BA306" s="142">
        <v>8.2799999999999999E-2</v>
      </c>
      <c r="BB306" s="142">
        <v>8.2799999999999999E-2</v>
      </c>
      <c r="BC306" s="57"/>
      <c r="BD306" s="142">
        <v>8.2799999999999999E-2</v>
      </c>
      <c r="BE306" s="142">
        <v>8.2799999999999999E-2</v>
      </c>
      <c r="BF306" s="142">
        <v>8.2799999999999999E-2</v>
      </c>
      <c r="BG306" s="142">
        <v>8.2799999999999999E-2</v>
      </c>
      <c r="BH306" s="143"/>
      <c r="BI306" s="215">
        <v>8.2799999999999999E-2</v>
      </c>
      <c r="BJ306" s="215">
        <v>8.2799999999999999E-2</v>
      </c>
      <c r="BK306" s="215">
        <v>8.2799999999999999E-2</v>
      </c>
      <c r="BL306" s="215">
        <v>8.2799999999999999E-2</v>
      </c>
    </row>
    <row r="307" spans="3:64" s="41" customFormat="1" ht="12.75" customHeight="1">
      <c r="C307" s="84" t="s">
        <v>108</v>
      </c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115"/>
      <c r="U307" s="114"/>
      <c r="V307" s="114"/>
      <c r="W307" s="114"/>
      <c r="X307" s="114"/>
      <c r="Y307" s="57"/>
      <c r="Z307" s="114"/>
      <c r="AA307" s="114"/>
      <c r="AB307" s="114"/>
      <c r="AC307" s="114"/>
      <c r="AD307" s="115"/>
      <c r="AE307" s="114"/>
      <c r="AF307" s="114"/>
      <c r="AG307" s="114"/>
      <c r="AH307" s="114"/>
      <c r="AI307" s="115"/>
      <c r="AJ307" s="58"/>
      <c r="AK307" s="58"/>
      <c r="AL307" s="58"/>
      <c r="AM307" s="58"/>
      <c r="AN307" s="57"/>
      <c r="AO307" s="58"/>
      <c r="AP307" s="58"/>
      <c r="AQ307" s="58"/>
      <c r="AR307" s="141"/>
      <c r="AS307" s="57"/>
      <c r="AT307" s="142"/>
      <c r="AU307" s="142"/>
      <c r="AV307" s="142"/>
      <c r="AW307" s="142">
        <v>7.5200000000000003E-2</v>
      </c>
      <c r="AX307" s="57"/>
      <c r="AY307" s="142">
        <v>7.5200000000000003E-2</v>
      </c>
      <c r="AZ307" s="142">
        <v>7.5200000000000003E-2</v>
      </c>
      <c r="BA307" s="142">
        <v>7.5200000000000003E-2</v>
      </c>
      <c r="BB307" s="142">
        <v>7.5200000000000003E-2</v>
      </c>
      <c r="BC307" s="57"/>
      <c r="BD307" s="142">
        <v>7.5200000000000003E-2</v>
      </c>
      <c r="BE307" s="142">
        <v>7.5200000000000003E-2</v>
      </c>
      <c r="BF307" s="142">
        <v>7.5200000000000003E-2</v>
      </c>
      <c r="BG307" s="142">
        <v>7.5200000000000003E-2</v>
      </c>
      <c r="BH307" s="143"/>
      <c r="BI307" s="215">
        <v>7.5200000000000003E-2</v>
      </c>
      <c r="BJ307" s="215">
        <v>7.5200000000000003E-2</v>
      </c>
      <c r="BK307" s="215">
        <v>7.5200000000000003E-2</v>
      </c>
      <c r="BL307" s="215">
        <v>7.5200000000000003E-2</v>
      </c>
    </row>
    <row r="308" spans="3:64" s="41" customFormat="1" ht="12.75" customHeight="1">
      <c r="C308" s="84" t="s">
        <v>109</v>
      </c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115"/>
      <c r="U308" s="114"/>
      <c r="V308" s="114"/>
      <c r="W308" s="114"/>
      <c r="X308" s="114"/>
      <c r="Y308" s="57"/>
      <c r="Z308" s="114"/>
      <c r="AA308" s="114"/>
      <c r="AB308" s="114"/>
      <c r="AC308" s="114"/>
      <c r="AD308" s="115"/>
      <c r="AE308" s="114"/>
      <c r="AF308" s="114"/>
      <c r="AG308" s="114"/>
      <c r="AH308" s="114"/>
      <c r="AI308" s="115"/>
      <c r="AJ308" s="58"/>
      <c r="AK308" s="58"/>
      <c r="AL308" s="58"/>
      <c r="AM308" s="58"/>
      <c r="AN308" s="57"/>
      <c r="AO308" s="58"/>
      <c r="AP308" s="58"/>
      <c r="AQ308" s="58"/>
      <c r="AR308" s="141"/>
      <c r="AS308" s="57"/>
      <c r="AT308" s="142"/>
      <c r="AU308" s="142"/>
      <c r="AV308" s="142"/>
      <c r="AW308" s="142">
        <v>7.6600000000000001E-2</v>
      </c>
      <c r="AX308" s="57"/>
      <c r="AY308" s="142">
        <v>7.6600000000000001E-2</v>
      </c>
      <c r="AZ308" s="142">
        <v>7.6600000000000001E-2</v>
      </c>
      <c r="BA308" s="142">
        <v>7.6600000000000001E-2</v>
      </c>
      <c r="BB308" s="142">
        <v>7.6600000000000001E-2</v>
      </c>
      <c r="BC308" s="57"/>
      <c r="BD308" s="142">
        <v>7.6600000000000001E-2</v>
      </c>
      <c r="BE308" s="142">
        <v>7.6600000000000001E-2</v>
      </c>
      <c r="BF308" s="142">
        <v>7.6600000000000001E-2</v>
      </c>
      <c r="BG308" s="142">
        <v>7.6600000000000001E-2</v>
      </c>
      <c r="BH308" s="143"/>
      <c r="BI308" s="215">
        <v>7.6600000000000001E-2</v>
      </c>
      <c r="BJ308" s="215">
        <v>7.6600000000000001E-2</v>
      </c>
      <c r="BK308" s="215">
        <v>7.6600000000000001E-2</v>
      </c>
      <c r="BL308" s="215">
        <v>7.6600000000000001E-2</v>
      </c>
    </row>
    <row r="309" spans="3:64" s="41" customFormat="1" ht="12.75" customHeight="1">
      <c r="C309" s="84" t="s">
        <v>110</v>
      </c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115"/>
      <c r="U309" s="114"/>
      <c r="V309" s="114"/>
      <c r="W309" s="114"/>
      <c r="X309" s="114"/>
      <c r="Y309" s="57"/>
      <c r="Z309" s="114"/>
      <c r="AA309" s="114"/>
      <c r="AB309" s="114"/>
      <c r="AC309" s="114"/>
      <c r="AD309" s="115"/>
      <c r="AE309" s="114"/>
      <c r="AF309" s="114"/>
      <c r="AG309" s="114"/>
      <c r="AH309" s="114"/>
      <c r="AI309" s="115"/>
      <c r="AJ309" s="58"/>
      <c r="AK309" s="58"/>
      <c r="AL309" s="58"/>
      <c r="AM309" s="58"/>
      <c r="AN309" s="57"/>
      <c r="AO309" s="58"/>
      <c r="AP309" s="58"/>
      <c r="AQ309" s="58"/>
      <c r="AR309" s="141"/>
      <c r="AS309" s="57"/>
      <c r="AT309" s="142"/>
      <c r="AU309" s="142"/>
      <c r="AV309" s="142"/>
      <c r="AW309" s="142">
        <v>7.5200000000000003E-2</v>
      </c>
      <c r="AX309" s="57"/>
      <c r="AY309" s="142">
        <v>7.5200000000000003E-2</v>
      </c>
      <c r="AZ309" s="142">
        <v>7.5200000000000003E-2</v>
      </c>
      <c r="BA309" s="142">
        <v>7.5200000000000003E-2</v>
      </c>
      <c r="BB309" s="142">
        <v>7.5200000000000003E-2</v>
      </c>
      <c r="BC309" s="57"/>
      <c r="BD309" s="142">
        <v>7.5200000000000003E-2</v>
      </c>
      <c r="BE309" s="142">
        <v>7.5200000000000003E-2</v>
      </c>
      <c r="BF309" s="142">
        <v>7.5200000000000003E-2</v>
      </c>
      <c r="BG309" s="142">
        <v>7.5200000000000003E-2</v>
      </c>
      <c r="BH309" s="143"/>
      <c r="BI309" s="215">
        <v>7.5200000000000003E-2</v>
      </c>
      <c r="BJ309" s="215">
        <v>7.5200000000000003E-2</v>
      </c>
      <c r="BK309" s="215">
        <v>7.5200000000000003E-2</v>
      </c>
      <c r="BL309" s="215">
        <v>7.5200000000000003E-2</v>
      </c>
    </row>
    <row r="310" spans="3:64" s="41" customFormat="1" ht="12.75" customHeight="1">
      <c r="C310" s="84" t="s">
        <v>111</v>
      </c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115"/>
      <c r="U310" s="114"/>
      <c r="V310" s="114"/>
      <c r="W310" s="114"/>
      <c r="X310" s="114"/>
      <c r="Y310" s="57"/>
      <c r="Z310" s="114"/>
      <c r="AA310" s="114"/>
      <c r="AB310" s="114"/>
      <c r="AC310" s="114"/>
      <c r="AD310" s="115"/>
      <c r="AE310" s="114"/>
      <c r="AF310" s="114"/>
      <c r="AG310" s="114"/>
      <c r="AH310" s="114"/>
      <c r="AI310" s="115"/>
      <c r="AJ310" s="58"/>
      <c r="AK310" s="58"/>
      <c r="AL310" s="58"/>
      <c r="AM310" s="58"/>
      <c r="AN310" s="57"/>
      <c r="AO310" s="58"/>
      <c r="AP310" s="58"/>
      <c r="AQ310" s="58"/>
      <c r="AR310" s="141"/>
      <c r="AS310" s="57"/>
      <c r="AT310" s="142"/>
      <c r="AU310" s="142"/>
      <c r="AV310" s="142"/>
      <c r="AW310" s="142">
        <v>0.12625</v>
      </c>
      <c r="AX310" s="57"/>
      <c r="AY310" s="142">
        <v>0.12625</v>
      </c>
      <c r="AZ310" s="142">
        <v>0.12625</v>
      </c>
      <c r="BA310" s="142">
        <v>0.12625</v>
      </c>
      <c r="BB310" s="142">
        <v>0.12625</v>
      </c>
      <c r="BC310" s="57"/>
      <c r="BD310" s="142">
        <v>0.12625</v>
      </c>
      <c r="BE310" s="142">
        <v>0.12625</v>
      </c>
      <c r="BF310" s="142">
        <v>0.12625</v>
      </c>
      <c r="BG310" s="142">
        <v>0.12625</v>
      </c>
      <c r="BH310" s="143"/>
      <c r="BI310" s="215">
        <v>0.12625</v>
      </c>
      <c r="BJ310" s="215">
        <v>0.12625</v>
      </c>
      <c r="BK310" s="215">
        <v>0.12625</v>
      </c>
      <c r="BL310" s="215">
        <v>0.12625</v>
      </c>
    </row>
    <row r="311" spans="3:64" s="41" customFormat="1" ht="12.75" customHeight="1">
      <c r="C311" s="84" t="s">
        <v>127</v>
      </c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115"/>
      <c r="U311" s="114"/>
      <c r="V311" s="114"/>
      <c r="W311" s="114"/>
      <c r="X311" s="114"/>
      <c r="Y311" s="57"/>
      <c r="Z311" s="114"/>
      <c r="AA311" s="114"/>
      <c r="AB311" s="114"/>
      <c r="AC311" s="114"/>
      <c r="AD311" s="115"/>
      <c r="AE311" s="114"/>
      <c r="AF311" s="114"/>
      <c r="AG311" s="114"/>
      <c r="AH311" s="114"/>
      <c r="AI311" s="115"/>
      <c r="AJ311" s="58"/>
      <c r="AK311" s="58"/>
      <c r="AL311" s="58"/>
      <c r="AM311" s="58"/>
      <c r="AN311" s="57"/>
      <c r="AO311" s="58"/>
      <c r="AP311" s="58"/>
      <c r="AQ311" s="58"/>
      <c r="AR311" s="141"/>
      <c r="AS311" s="57"/>
      <c r="AT311" s="142"/>
      <c r="AU311" s="142"/>
      <c r="AV311" s="142"/>
      <c r="AW311" s="142">
        <v>0.08</v>
      </c>
      <c r="AX311" s="57"/>
      <c r="AY311" s="142">
        <v>0.08</v>
      </c>
      <c r="AZ311" s="142">
        <v>0.08</v>
      </c>
      <c r="BA311" s="142">
        <v>0.08</v>
      </c>
      <c r="BB311" s="142">
        <v>0.08</v>
      </c>
      <c r="BC311" s="57"/>
      <c r="BD311" s="142">
        <v>0.08</v>
      </c>
      <c r="BE311" s="142">
        <v>0.08</v>
      </c>
      <c r="BF311" s="142">
        <v>0.08</v>
      </c>
      <c r="BG311" s="142">
        <v>0.08</v>
      </c>
      <c r="BH311" s="143"/>
      <c r="BI311" s="215">
        <v>0.08</v>
      </c>
      <c r="BJ311" s="215">
        <v>0.08</v>
      </c>
      <c r="BK311" s="215">
        <v>0.08</v>
      </c>
      <c r="BL311" s="215">
        <v>0.08</v>
      </c>
    </row>
    <row r="312" spans="3:64" s="41" customFormat="1" ht="12.75" customHeight="1">
      <c r="C312" s="84" t="s">
        <v>113</v>
      </c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115"/>
      <c r="U312" s="114"/>
      <c r="V312" s="114"/>
      <c r="W312" s="114"/>
      <c r="X312" s="114"/>
      <c r="Y312" s="57"/>
      <c r="Z312" s="114"/>
      <c r="AA312" s="114"/>
      <c r="AB312" s="114"/>
      <c r="AC312" s="114"/>
      <c r="AD312" s="115"/>
      <c r="AE312" s="114"/>
      <c r="AF312" s="114"/>
      <c r="AG312" s="114"/>
      <c r="AH312" s="114"/>
      <c r="AI312" s="115"/>
      <c r="AJ312" s="58"/>
      <c r="AK312" s="58"/>
      <c r="AL312" s="58"/>
      <c r="AM312" s="58"/>
      <c r="AN312" s="57"/>
      <c r="AO312" s="58"/>
      <c r="AP312" s="58"/>
      <c r="AQ312" s="58"/>
      <c r="AR312" s="141"/>
      <c r="AS312" s="57"/>
      <c r="AT312" s="142"/>
      <c r="AU312" s="142"/>
      <c r="AV312" s="142"/>
      <c r="AW312" s="142">
        <v>5.5E-2</v>
      </c>
      <c r="AX312" s="57"/>
      <c r="AY312" s="142">
        <v>5.5E-2</v>
      </c>
      <c r="AZ312" s="142">
        <v>5.5E-2</v>
      </c>
      <c r="BA312" s="142">
        <v>5.5E-2</v>
      </c>
      <c r="BB312" s="142">
        <v>5.5E-2</v>
      </c>
      <c r="BC312" s="57"/>
      <c r="BD312" s="142">
        <v>5.5E-2</v>
      </c>
      <c r="BE312" s="142">
        <v>5.5E-2</v>
      </c>
      <c r="BF312" s="142">
        <v>5.5E-2</v>
      </c>
      <c r="BG312" s="142">
        <v>5.5E-2</v>
      </c>
      <c r="BH312" s="143"/>
      <c r="BI312" s="215">
        <v>5.5E-2</v>
      </c>
      <c r="BJ312" s="215">
        <v>5.5E-2</v>
      </c>
      <c r="BK312" s="215">
        <v>5.5E-2</v>
      </c>
      <c r="BL312" s="215">
        <v>5.5E-2</v>
      </c>
    </row>
    <row r="313" spans="3:64" s="41" customFormat="1" ht="12.75" customHeight="1">
      <c r="C313" s="84" t="s">
        <v>114</v>
      </c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115"/>
      <c r="U313" s="114"/>
      <c r="V313" s="114"/>
      <c r="W313" s="114"/>
      <c r="X313" s="114"/>
      <c r="Y313" s="57"/>
      <c r="Z313" s="114"/>
      <c r="AA313" s="114"/>
      <c r="AB313" s="114"/>
      <c r="AC313" s="114"/>
      <c r="AD313" s="115"/>
      <c r="AE313" s="114"/>
      <c r="AF313" s="114"/>
      <c r="AG313" s="114"/>
      <c r="AH313" s="114"/>
      <c r="AI313" s="115"/>
      <c r="AJ313" s="58"/>
      <c r="AK313" s="58"/>
      <c r="AL313" s="58"/>
      <c r="AM313" s="58"/>
      <c r="AN313" s="57"/>
      <c r="AO313" s="58"/>
      <c r="AP313" s="58"/>
      <c r="AQ313" s="58"/>
      <c r="AR313" s="141"/>
      <c r="AS313" s="57"/>
      <c r="AT313" s="142"/>
      <c r="AU313" s="142"/>
      <c r="AV313" s="142"/>
      <c r="AW313" s="142">
        <v>4.6249999999999999E-2</v>
      </c>
      <c r="AX313" s="57"/>
      <c r="AY313" s="142">
        <v>4.6249999999999999E-2</v>
      </c>
      <c r="AZ313" s="142">
        <v>4.6249999999999999E-2</v>
      </c>
      <c r="BA313" s="142">
        <v>4.6249999999999999E-2</v>
      </c>
      <c r="BB313" s="142">
        <v>4.6249999999999999E-2</v>
      </c>
      <c r="BC313" s="57"/>
      <c r="BD313" s="142">
        <v>4.6249999999999999E-2</v>
      </c>
      <c r="BE313" s="142">
        <v>4.6249999999999999E-2</v>
      </c>
      <c r="BF313" s="142">
        <v>4.6249999999999999E-2</v>
      </c>
      <c r="BG313" s="142">
        <v>4.6249999999999999E-2</v>
      </c>
      <c r="BH313" s="143"/>
      <c r="BI313" s="215">
        <v>4.6249999999999999E-2</v>
      </c>
      <c r="BJ313" s="215">
        <v>4.6249999999999999E-2</v>
      </c>
      <c r="BK313" s="215">
        <v>4.6249999999999999E-2</v>
      </c>
      <c r="BL313" s="215">
        <v>4.6249999999999999E-2</v>
      </c>
    </row>
    <row r="314" spans="3:64" s="41" customFormat="1" ht="12.75" customHeight="1">
      <c r="C314" s="84" t="s">
        <v>115</v>
      </c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115"/>
      <c r="U314" s="114"/>
      <c r="V314" s="114"/>
      <c r="W314" s="114"/>
      <c r="X314" s="114"/>
      <c r="Y314" s="57"/>
      <c r="Z314" s="114"/>
      <c r="AA314" s="114"/>
      <c r="AB314" s="114"/>
      <c r="AC314" s="114"/>
      <c r="AD314" s="115"/>
      <c r="AE314" s="114"/>
      <c r="AF314" s="114"/>
      <c r="AG314" s="114"/>
      <c r="AH314" s="114"/>
      <c r="AI314" s="115"/>
      <c r="AJ314" s="58"/>
      <c r="AK314" s="58"/>
      <c r="AL314" s="58"/>
      <c r="AM314" s="58"/>
      <c r="AN314" s="57"/>
      <c r="AO314" s="58"/>
      <c r="AP314" s="58"/>
      <c r="AQ314" s="58"/>
      <c r="AR314" s="141"/>
      <c r="AS314" s="57"/>
      <c r="AT314" s="142"/>
      <c r="AU314" s="142"/>
      <c r="AV314" s="142"/>
      <c r="AW314" s="142">
        <v>0.05</v>
      </c>
      <c r="AX314" s="57"/>
      <c r="AY314" s="142">
        <v>0.05</v>
      </c>
      <c r="AZ314" s="142">
        <v>0.05</v>
      </c>
      <c r="BA314" s="142">
        <v>0.05</v>
      </c>
      <c r="BB314" s="142">
        <v>0.05</v>
      </c>
      <c r="BC314" s="57"/>
      <c r="BD314" s="142">
        <v>0.05</v>
      </c>
      <c r="BE314" s="142">
        <v>0.05</v>
      </c>
      <c r="BF314" s="142">
        <v>0.05</v>
      </c>
      <c r="BG314" s="142">
        <v>0.05</v>
      </c>
      <c r="BH314" s="143"/>
      <c r="BI314" s="215">
        <v>0.05</v>
      </c>
      <c r="BJ314" s="215">
        <v>0.05</v>
      </c>
      <c r="BK314" s="215">
        <v>0.05</v>
      </c>
      <c r="BL314" s="215">
        <v>0.05</v>
      </c>
    </row>
    <row r="315" spans="3:64" s="41" customFormat="1" ht="12.75" customHeight="1">
      <c r="C315" s="84" t="s">
        <v>116</v>
      </c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115"/>
      <c r="U315" s="114"/>
      <c r="V315" s="114"/>
      <c r="W315" s="114"/>
      <c r="X315" s="114"/>
      <c r="Y315" s="57"/>
      <c r="Z315" s="114"/>
      <c r="AA315" s="114"/>
      <c r="AB315" s="114"/>
      <c r="AC315" s="114"/>
      <c r="AD315" s="115"/>
      <c r="AE315" s="114"/>
      <c r="AF315" s="114"/>
      <c r="AG315" s="114"/>
      <c r="AH315" s="114"/>
      <c r="AI315" s="115"/>
      <c r="AJ315" s="58"/>
      <c r="AK315" s="58"/>
      <c r="AL315" s="58"/>
      <c r="AM315" s="58"/>
      <c r="AN315" s="57"/>
      <c r="AO315" s="58"/>
      <c r="AP315" s="58"/>
      <c r="AQ315" s="58"/>
      <c r="AR315" s="141"/>
      <c r="AS315" s="57"/>
      <c r="AT315" s="142"/>
      <c r="AU315" s="142"/>
      <c r="AV315" s="142"/>
      <c r="AW315" s="142">
        <v>9.0200000000000002E-2</v>
      </c>
      <c r="AX315" s="57"/>
      <c r="AY315" s="142">
        <v>9.0200000000000002E-2</v>
      </c>
      <c r="AZ315" s="142">
        <v>9.0200000000000002E-2</v>
      </c>
      <c r="BA315" s="142">
        <v>9.0200000000000002E-2</v>
      </c>
      <c r="BB315" s="142">
        <v>9.0200000000000002E-2</v>
      </c>
      <c r="BC315" s="57"/>
      <c r="BD315" s="142">
        <v>9.0200000000000002E-2</v>
      </c>
      <c r="BE315" s="142">
        <v>9.0200000000000002E-2</v>
      </c>
      <c r="BF315" s="142">
        <v>9.0200000000000002E-2</v>
      </c>
      <c r="BG315" s="142">
        <v>9.0200000000000002E-2</v>
      </c>
      <c r="BH315" s="143"/>
      <c r="BI315" s="215">
        <v>9.0200000000000002E-2</v>
      </c>
      <c r="BJ315" s="215">
        <v>9.0200000000000002E-2</v>
      </c>
      <c r="BK315" s="215">
        <v>9.0200000000000002E-2</v>
      </c>
      <c r="BL315" s="215">
        <v>9.0200000000000002E-2</v>
      </c>
    </row>
    <row r="316" spans="3:64" s="41" customFormat="1" ht="12.75" customHeight="1">
      <c r="C316" s="84" t="s">
        <v>72</v>
      </c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115"/>
      <c r="U316" s="114"/>
      <c r="V316" s="114"/>
      <c r="W316" s="114"/>
      <c r="X316" s="114"/>
      <c r="Y316" s="57"/>
      <c r="Z316" s="114"/>
      <c r="AA316" s="114"/>
      <c r="AB316" s="114"/>
      <c r="AC316" s="114"/>
      <c r="AD316" s="115"/>
      <c r="AE316" s="114"/>
      <c r="AF316" s="114"/>
      <c r="AG316" s="114"/>
      <c r="AH316" s="114"/>
      <c r="AI316" s="115"/>
      <c r="AJ316" s="58"/>
      <c r="AK316" s="58"/>
      <c r="AL316" s="58"/>
      <c r="AM316" s="58"/>
      <c r="AN316" s="57"/>
      <c r="AO316" s="58"/>
      <c r="AP316" s="58"/>
      <c r="AQ316" s="58"/>
      <c r="AR316" s="141"/>
      <c r="AS316" s="57"/>
      <c r="AT316" s="147"/>
      <c r="AU316" s="147"/>
      <c r="AV316" s="147"/>
      <c r="AW316" s="147">
        <v>8.2799999999999999E-2</v>
      </c>
      <c r="AX316" s="148"/>
      <c r="AY316" s="147">
        <v>8.2799999999999999E-2</v>
      </c>
      <c r="AZ316" s="147">
        <v>8.2799999999999999E-2</v>
      </c>
      <c r="BA316" s="147">
        <v>8.2799999999999999E-2</v>
      </c>
      <c r="BB316" s="147">
        <v>8.2799999999999999E-2</v>
      </c>
      <c r="BC316" s="148"/>
      <c r="BD316" s="147">
        <v>8.2799999999999999E-2</v>
      </c>
      <c r="BE316" s="147">
        <v>8.2799999999999999E-2</v>
      </c>
      <c r="BF316" s="147">
        <v>8.2799999999999999E-2</v>
      </c>
      <c r="BG316" s="147">
        <v>8.2799999999999999E-2</v>
      </c>
      <c r="BH316" s="149"/>
      <c r="BI316" s="149">
        <v>8.2799999999999999E-2</v>
      </c>
      <c r="BJ316" s="149">
        <v>8.2799999999999999E-2</v>
      </c>
      <c r="BK316" s="149">
        <v>8.2799999999999999E-2</v>
      </c>
      <c r="BL316" s="149">
        <v>8.2799999999999999E-2</v>
      </c>
    </row>
    <row r="317" spans="3:64" s="41" customFormat="1" ht="12.75" customHeight="1">
      <c r="C317" s="41" t="s">
        <v>79</v>
      </c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8"/>
      <c r="V317" s="58"/>
      <c r="W317" s="58"/>
      <c r="X317" s="58"/>
      <c r="Y317" s="57"/>
      <c r="Z317" s="58"/>
      <c r="AA317" s="58"/>
      <c r="AB317" s="58"/>
      <c r="AC317" s="58"/>
      <c r="AD317" s="57"/>
      <c r="AE317" s="58"/>
      <c r="AF317" s="58"/>
      <c r="AG317" s="58"/>
      <c r="AH317" s="58"/>
      <c r="AI317" s="57"/>
      <c r="AJ317" s="58"/>
      <c r="AK317" s="58"/>
      <c r="AL317" s="58"/>
      <c r="AM317" s="58"/>
      <c r="AN317" s="57"/>
      <c r="AO317" s="58"/>
      <c r="AP317" s="58"/>
      <c r="AQ317" s="58"/>
      <c r="AR317" s="150"/>
      <c r="AS317" s="57"/>
      <c r="AT317" s="150"/>
      <c r="AU317" s="150"/>
      <c r="AV317" s="150"/>
      <c r="AW317" s="150">
        <f>AW331/AVERAGE(AV302:AW302)*4</f>
        <v>8.0642231686541735E-2</v>
      </c>
      <c r="AX317" s="151"/>
      <c r="AY317" s="150">
        <f ca="1">AY331/AVERAGE(AX302:AY302)*4</f>
        <v>8.4320617460014291E-2</v>
      </c>
      <c r="AZ317" s="150">
        <f ca="1">AZ331/AVERAGE(AY302:AZ302)*4</f>
        <v>7.604627808463417E-2</v>
      </c>
      <c r="BA317" s="150">
        <f ca="1">BA331/AVERAGE(AZ302:BA302)*4</f>
        <v>8.4819826680633592E-2</v>
      </c>
      <c r="BB317" s="150">
        <f ca="1">BB331/AVERAGE(BA302:BB302)*4</f>
        <v>7.5112252588277195E-2</v>
      </c>
      <c r="BC317" s="151"/>
      <c r="BD317" s="150">
        <f ca="1">BD331/AVERAGE(BC302:BD302)*4</f>
        <v>8.7289265476475295E-2</v>
      </c>
      <c r="BE317" s="150">
        <f ca="1">BE331/AVERAGE(BD302:BE302)*4</f>
        <v>7.4513095170626445E-2</v>
      </c>
      <c r="BF317" s="150">
        <f ca="1">BF331/AVERAGE(BE302:BF302)*4</f>
        <v>8.9043090226481103E-2</v>
      </c>
      <c r="BG317" s="150">
        <f ca="1">BG331/AVERAGE(BF302:BG302)*4</f>
        <v>7.0295303318127847E-2</v>
      </c>
      <c r="BH317" s="151"/>
      <c r="BI317" s="151">
        <f ca="1">BI331/AVERAGE(BH302:BI302)</f>
        <v>7.7515228922043863E-2</v>
      </c>
      <c r="BJ317" s="151">
        <f ca="1">BJ331/AVERAGE(BI302:BJ302)</f>
        <v>8.840454096712802E-2</v>
      </c>
      <c r="BK317" s="151">
        <f ca="1">BK331/AVERAGE(BJ302:BK302)</f>
        <v>8.4505795495452882E-2</v>
      </c>
      <c r="BL317" s="151">
        <f ca="1">BL331/AVERAGE(BK302:BL302)</f>
        <v>8.3766450534227987E-2</v>
      </c>
    </row>
    <row r="318" spans="3:64" s="41" customFormat="1" ht="12.75" customHeight="1"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115"/>
      <c r="U318" s="114"/>
      <c r="V318" s="114"/>
      <c r="W318" s="114"/>
      <c r="X318" s="114"/>
      <c r="Y318" s="57"/>
      <c r="Z318" s="114"/>
      <c r="AA318" s="114"/>
      <c r="AB318" s="114"/>
      <c r="AC318" s="114"/>
      <c r="AD318" s="115"/>
      <c r="AE318" s="114"/>
      <c r="AF318" s="114"/>
      <c r="AG318" s="114"/>
      <c r="AH318" s="114"/>
      <c r="AI318" s="115"/>
      <c r="AJ318" s="58"/>
      <c r="AK318" s="58"/>
      <c r="AL318" s="58"/>
      <c r="AM318" s="58"/>
      <c r="AN318" s="57"/>
      <c r="AO318" s="58"/>
      <c r="AP318" s="58"/>
      <c r="AQ318" s="58"/>
      <c r="AR318" s="58"/>
      <c r="AS318" s="57"/>
      <c r="AT318" s="58"/>
      <c r="AU318" s="58"/>
      <c r="AV318" s="58"/>
      <c r="AW318" s="58"/>
      <c r="AX318" s="57"/>
      <c r="AY318" s="58"/>
      <c r="AZ318" s="58"/>
      <c r="BA318" s="58"/>
      <c r="BB318" s="58"/>
      <c r="BC318" s="57"/>
      <c r="BD318" s="58"/>
      <c r="BE318" s="58"/>
      <c r="BF318" s="58"/>
      <c r="BG318" s="58"/>
      <c r="BH318" s="57"/>
      <c r="BI318" s="57"/>
      <c r="BJ318" s="57"/>
      <c r="BK318" s="57"/>
      <c r="BL318" s="57"/>
    </row>
    <row r="319" spans="3:64" s="41" customFormat="1" ht="15.6" customHeight="1">
      <c r="C319" s="135" t="s">
        <v>58</v>
      </c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115"/>
      <c r="U319" s="114"/>
      <c r="V319" s="114"/>
      <c r="W319" s="114"/>
      <c r="X319" s="114"/>
      <c r="Y319" s="57"/>
      <c r="Z319" s="114"/>
      <c r="AA319" s="114"/>
      <c r="AB319" s="114"/>
      <c r="AC319" s="114"/>
      <c r="AD319" s="115"/>
      <c r="AE319" s="114"/>
      <c r="AF319" s="114"/>
      <c r="AG319" s="114"/>
      <c r="AH319" s="114"/>
      <c r="AI319" s="115"/>
      <c r="AJ319" s="58"/>
      <c r="AK319" s="58"/>
      <c r="AL319" s="58"/>
      <c r="AM319" s="58"/>
      <c r="AN319" s="57"/>
      <c r="AO319" s="58"/>
      <c r="AP319" s="58"/>
      <c r="AQ319" s="58"/>
      <c r="AR319" s="58"/>
      <c r="AS319" s="57"/>
      <c r="AT319" s="58"/>
      <c r="AU319" s="58"/>
      <c r="AV319" s="58"/>
      <c r="AW319" s="58"/>
      <c r="AX319" s="57"/>
      <c r="AY319" s="58"/>
      <c r="AZ319" s="58"/>
      <c r="BA319" s="58"/>
      <c r="BB319" s="58"/>
      <c r="BC319" s="57"/>
      <c r="BD319" s="58"/>
      <c r="BE319" s="58"/>
      <c r="BF319" s="58"/>
      <c r="BG319" s="58"/>
      <c r="BH319" s="57"/>
      <c r="BI319" s="57"/>
      <c r="BJ319" s="57"/>
      <c r="BK319" s="57"/>
      <c r="BL319" s="57"/>
    </row>
    <row r="320" spans="3:64" s="41" customFormat="1" ht="12.75" customHeight="1">
      <c r="C320" s="84" t="s">
        <v>129</v>
      </c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115"/>
      <c r="U320" s="114"/>
      <c r="V320" s="114"/>
      <c r="W320" s="114"/>
      <c r="X320" s="114"/>
      <c r="Y320" s="57"/>
      <c r="Z320" s="114"/>
      <c r="AA320" s="114"/>
      <c r="AB320" s="114"/>
      <c r="AC320" s="114"/>
      <c r="AD320" s="115"/>
      <c r="AE320" s="114"/>
      <c r="AF320" s="114"/>
      <c r="AG320" s="114"/>
      <c r="AH320" s="114"/>
      <c r="AI320" s="115"/>
      <c r="AJ320" s="58"/>
      <c r="AK320" s="58"/>
      <c r="AL320" s="58"/>
      <c r="AM320" s="58"/>
      <c r="AN320" s="57"/>
      <c r="AO320" s="58"/>
      <c r="AP320" s="58"/>
      <c r="AQ320" s="58"/>
      <c r="AR320" s="58"/>
      <c r="AS320" s="57"/>
      <c r="AT320" s="84"/>
      <c r="AU320" s="84"/>
      <c r="AV320" s="84"/>
      <c r="AW320" s="84">
        <f t="shared" ref="AW320:AW330" si="1245">AVERAGE(AV291:AW291)*AW306/4</f>
        <v>15.338699999999999</v>
      </c>
      <c r="AX320" s="98"/>
      <c r="AY320" s="84">
        <f t="shared" ref="AY320:BB324" ca="1" si="1246">AVERAGE(AX291:AY291)*AY306/4</f>
        <v>10.581051060523388</v>
      </c>
      <c r="AZ320" s="84">
        <f t="shared" ca="1" si="1246"/>
        <v>1.6168198524240733</v>
      </c>
      <c r="BA320" s="84">
        <f t="shared" ca="1" si="1246"/>
        <v>-9.275854260895029</v>
      </c>
      <c r="BB320" s="84">
        <f t="shared" ca="1" si="1246"/>
        <v>-16.96893664102809</v>
      </c>
      <c r="BC320" s="98">
        <f t="shared" ref="BC320:BC330" ca="1" si="1247">SUM(AY320:BB320)</f>
        <v>-14.046919988975658</v>
      </c>
      <c r="BD320" s="84">
        <f t="shared" ref="BD320:BG324" ca="1" si="1248">AVERAGE(BC291:BD291)*BD306/4</f>
        <v>-20.613814655134188</v>
      </c>
      <c r="BE320" s="84">
        <f t="shared" ca="1" si="1248"/>
        <v>-28.1316484645778</v>
      </c>
      <c r="BF320" s="84">
        <f t="shared" ca="1" si="1248"/>
        <v>-40.439784415217432</v>
      </c>
      <c r="BG320" s="84">
        <f t="shared" ca="1" si="1248"/>
        <v>-51.623097958454885</v>
      </c>
      <c r="BH320" s="98">
        <f t="shared" ref="BH320:BH330" ca="1" si="1249">SUM(BD320:BG320)</f>
        <v>-140.80834549338431</v>
      </c>
      <c r="BI320" s="98">
        <f t="shared" ref="BI320:BL324" ca="1" si="1250">AVERAGE(BH291:BI291)*BI306</f>
        <v>-311.68103148168632</v>
      </c>
      <c r="BJ320" s="98">
        <f t="shared" ca="1" si="1250"/>
        <v>-507.18706922532363</v>
      </c>
      <c r="BK320" s="98">
        <f t="shared" ca="1" si="1250"/>
        <v>-734.8059350801318</v>
      </c>
      <c r="BL320" s="98">
        <f t="shared" ca="1" si="1250"/>
        <v>-997.84753010130328</v>
      </c>
    </row>
    <row r="321" spans="3:64" s="41" customFormat="1" ht="12.75" customHeight="1">
      <c r="C321" s="84" t="s">
        <v>108</v>
      </c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115"/>
      <c r="U321" s="114"/>
      <c r="V321" s="114"/>
      <c r="W321" s="114"/>
      <c r="X321" s="114"/>
      <c r="Y321" s="57"/>
      <c r="Z321" s="114"/>
      <c r="AA321" s="114"/>
      <c r="AB321" s="114"/>
      <c r="AC321" s="114"/>
      <c r="AD321" s="115"/>
      <c r="AE321" s="114"/>
      <c r="AF321" s="114"/>
      <c r="AG321" s="114"/>
      <c r="AH321" s="114"/>
      <c r="AI321" s="115"/>
      <c r="AJ321" s="58"/>
      <c r="AK321" s="58"/>
      <c r="AL321" s="58"/>
      <c r="AM321" s="58"/>
      <c r="AN321" s="57"/>
      <c r="AO321" s="58"/>
      <c r="AP321" s="58"/>
      <c r="AQ321" s="58"/>
      <c r="AR321" s="58"/>
      <c r="AS321" s="57"/>
      <c r="AT321" s="84"/>
      <c r="AU321" s="84"/>
      <c r="AV321" s="84"/>
      <c r="AW321" s="84">
        <f t="shared" si="1245"/>
        <v>23.349600000000002</v>
      </c>
      <c r="AX321" s="98"/>
      <c r="AY321" s="84">
        <f t="shared" si="1246"/>
        <v>23.319050000000001</v>
      </c>
      <c r="AZ321" s="84">
        <f t="shared" si="1246"/>
        <v>23.257950000000001</v>
      </c>
      <c r="BA321" s="84">
        <f t="shared" si="1246"/>
        <v>23.196850000000001</v>
      </c>
      <c r="BB321" s="84">
        <f t="shared" si="1246"/>
        <v>23.135750000000002</v>
      </c>
      <c r="BC321" s="98">
        <f t="shared" ref="BC321:BC329" si="1251">SUM(AY321:BB321)</f>
        <v>92.909599999999998</v>
      </c>
      <c r="BD321" s="84">
        <f t="shared" si="1248"/>
        <v>23.074650000000002</v>
      </c>
      <c r="BE321" s="84">
        <f t="shared" si="1248"/>
        <v>23.013550000000002</v>
      </c>
      <c r="BF321" s="84">
        <f t="shared" si="1248"/>
        <v>22.952450000000002</v>
      </c>
      <c r="BG321" s="84">
        <f t="shared" si="1248"/>
        <v>22.891349999999999</v>
      </c>
      <c r="BH321" s="98">
        <f t="shared" si="1249"/>
        <v>91.932000000000002</v>
      </c>
      <c r="BI321" s="98">
        <f t="shared" si="1250"/>
        <v>91.443200000000004</v>
      </c>
      <c r="BJ321" s="98">
        <f t="shared" si="1250"/>
        <v>91.443200000000004</v>
      </c>
      <c r="BK321" s="98">
        <f t="shared" si="1250"/>
        <v>91.443200000000004</v>
      </c>
      <c r="BL321" s="98">
        <f t="shared" si="1250"/>
        <v>91.443200000000004</v>
      </c>
    </row>
    <row r="322" spans="3:64" s="41" customFormat="1" ht="12.75" customHeight="1">
      <c r="C322" s="84" t="s">
        <v>109</v>
      </c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115"/>
      <c r="U322" s="114"/>
      <c r="V322" s="114"/>
      <c r="W322" s="114"/>
      <c r="X322" s="114"/>
      <c r="Y322" s="57"/>
      <c r="Z322" s="114"/>
      <c r="AA322" s="114"/>
      <c r="AB322" s="114"/>
      <c r="AC322" s="114"/>
      <c r="AD322" s="115"/>
      <c r="AE322" s="114"/>
      <c r="AF322" s="114"/>
      <c r="AG322" s="114"/>
      <c r="AH322" s="114"/>
      <c r="AI322" s="115"/>
      <c r="AJ322" s="58"/>
      <c r="AK322" s="58"/>
      <c r="AL322" s="58"/>
      <c r="AM322" s="58"/>
      <c r="AN322" s="57"/>
      <c r="AO322" s="58"/>
      <c r="AP322" s="58"/>
      <c r="AQ322" s="58"/>
      <c r="AR322" s="58"/>
      <c r="AS322" s="57"/>
      <c r="AT322" s="84"/>
      <c r="AU322" s="84"/>
      <c r="AV322" s="84"/>
      <c r="AW322" s="84">
        <f t="shared" si="1245"/>
        <v>9.3834999999999997</v>
      </c>
      <c r="AX322" s="98"/>
      <c r="AY322" s="84">
        <f t="shared" si="1246"/>
        <v>9.3715312500000003</v>
      </c>
      <c r="AZ322" s="84">
        <f t="shared" si="1246"/>
        <v>9.3475937499999997</v>
      </c>
      <c r="BA322" s="84">
        <f t="shared" si="1246"/>
        <v>9.3236562500000009</v>
      </c>
      <c r="BB322" s="84">
        <f t="shared" si="1246"/>
        <v>9.2997187500000003</v>
      </c>
      <c r="BC322" s="98">
        <f t="shared" si="1251"/>
        <v>37.342500000000001</v>
      </c>
      <c r="BD322" s="84">
        <f t="shared" si="1248"/>
        <v>9.2757812499999996</v>
      </c>
      <c r="BE322" s="84">
        <f t="shared" si="1248"/>
        <v>9.2518437500000008</v>
      </c>
      <c r="BF322" s="84">
        <f t="shared" si="1248"/>
        <v>9.2279062500000002</v>
      </c>
      <c r="BG322" s="84">
        <f t="shared" si="1248"/>
        <v>9.2039687499999996</v>
      </c>
      <c r="BH322" s="98">
        <f t="shared" si="1249"/>
        <v>36.959499999999998</v>
      </c>
      <c r="BI322" s="98">
        <f t="shared" si="1250"/>
        <v>36.768000000000001</v>
      </c>
      <c r="BJ322" s="98">
        <f t="shared" si="1250"/>
        <v>36.768000000000001</v>
      </c>
      <c r="BK322" s="98">
        <f t="shared" si="1250"/>
        <v>36.768000000000001</v>
      </c>
      <c r="BL322" s="98">
        <f t="shared" si="1250"/>
        <v>36.768000000000001</v>
      </c>
    </row>
    <row r="323" spans="3:64" s="41" customFormat="1" ht="12.75" customHeight="1">
      <c r="C323" s="84" t="s">
        <v>110</v>
      </c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115"/>
      <c r="U323" s="114"/>
      <c r="V323" s="114"/>
      <c r="W323" s="114"/>
      <c r="X323" s="114"/>
      <c r="Y323" s="57"/>
      <c r="Z323" s="114"/>
      <c r="AA323" s="114"/>
      <c r="AB323" s="114"/>
      <c r="AC323" s="114"/>
      <c r="AD323" s="115"/>
      <c r="AE323" s="114"/>
      <c r="AF323" s="114"/>
      <c r="AG323" s="114"/>
      <c r="AH323" s="114"/>
      <c r="AI323" s="115"/>
      <c r="AJ323" s="58"/>
      <c r="AK323" s="58"/>
      <c r="AL323" s="58"/>
      <c r="AM323" s="58"/>
      <c r="AN323" s="57"/>
      <c r="AO323" s="58"/>
      <c r="AP323" s="58"/>
      <c r="AQ323" s="58"/>
      <c r="AR323" s="58"/>
      <c r="AS323" s="57"/>
      <c r="AT323" s="84"/>
      <c r="AU323" s="84"/>
      <c r="AV323" s="84"/>
      <c r="AW323" s="84">
        <f t="shared" si="1245"/>
        <v>4.6059999999999999</v>
      </c>
      <c r="AX323" s="98"/>
      <c r="AY323" s="84">
        <f t="shared" si="1246"/>
        <v>4.6059999999999999</v>
      </c>
      <c r="AZ323" s="84">
        <f t="shared" si="1246"/>
        <v>4.6059999999999999</v>
      </c>
      <c r="BA323" s="84">
        <f t="shared" si="1246"/>
        <v>4.6059999999999999</v>
      </c>
      <c r="BB323" s="84">
        <f t="shared" si="1246"/>
        <v>4.6059999999999999</v>
      </c>
      <c r="BC323" s="98">
        <f t="shared" si="1251"/>
        <v>18.423999999999999</v>
      </c>
      <c r="BD323" s="84">
        <f t="shared" si="1248"/>
        <v>4.6059999999999999</v>
      </c>
      <c r="BE323" s="84">
        <f t="shared" si="1248"/>
        <v>4.6059999999999999</v>
      </c>
      <c r="BF323" s="84">
        <f t="shared" si="1248"/>
        <v>4.6059999999999999</v>
      </c>
      <c r="BG323" s="84">
        <f t="shared" si="1248"/>
        <v>4.6059999999999999</v>
      </c>
      <c r="BH323" s="98">
        <f t="shared" si="1249"/>
        <v>18.423999999999999</v>
      </c>
      <c r="BI323" s="98">
        <f t="shared" si="1250"/>
        <v>18.423999999999999</v>
      </c>
      <c r="BJ323" s="98">
        <f t="shared" si="1250"/>
        <v>18.423999999999999</v>
      </c>
      <c r="BK323" s="98">
        <f t="shared" si="1250"/>
        <v>18.423999999999999</v>
      </c>
      <c r="BL323" s="98">
        <f t="shared" si="1250"/>
        <v>18.423999999999999</v>
      </c>
    </row>
    <row r="324" spans="3:64" s="41" customFormat="1" ht="12.75" customHeight="1">
      <c r="C324" s="84" t="s">
        <v>111</v>
      </c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115"/>
      <c r="U324" s="114"/>
      <c r="V324" s="114"/>
      <c r="W324" s="114"/>
      <c r="X324" s="114"/>
      <c r="Y324" s="57"/>
      <c r="Z324" s="114"/>
      <c r="AA324" s="114"/>
      <c r="AB324" s="114"/>
      <c r="AC324" s="114"/>
      <c r="AD324" s="115"/>
      <c r="AE324" s="114"/>
      <c r="AF324" s="114"/>
      <c r="AG324" s="114"/>
      <c r="AH324" s="114"/>
      <c r="AI324" s="115"/>
      <c r="AJ324" s="58"/>
      <c r="AK324" s="58"/>
      <c r="AL324" s="58"/>
      <c r="AM324" s="58"/>
      <c r="AN324" s="57"/>
      <c r="AO324" s="58"/>
      <c r="AP324" s="58"/>
      <c r="AQ324" s="58"/>
      <c r="AR324" s="58"/>
      <c r="AS324" s="57"/>
      <c r="AT324" s="84"/>
      <c r="AU324" s="84"/>
      <c r="AV324" s="84"/>
      <c r="AW324" s="84">
        <f t="shared" si="1245"/>
        <v>39.453125</v>
      </c>
      <c r="AX324" s="98"/>
      <c r="AY324" s="84">
        <f t="shared" si="1246"/>
        <v>39.453125</v>
      </c>
      <c r="AZ324" s="84">
        <f t="shared" si="1246"/>
        <v>39.453125</v>
      </c>
      <c r="BA324" s="84">
        <f t="shared" si="1246"/>
        <v>39.453125</v>
      </c>
      <c r="BB324" s="84">
        <f t="shared" si="1246"/>
        <v>39.453125</v>
      </c>
      <c r="BC324" s="98">
        <f t="shared" si="1251"/>
        <v>157.8125</v>
      </c>
      <c r="BD324" s="84">
        <f t="shared" si="1248"/>
        <v>39.453125</v>
      </c>
      <c r="BE324" s="84">
        <f t="shared" si="1248"/>
        <v>39.453125</v>
      </c>
      <c r="BF324" s="84">
        <f t="shared" si="1248"/>
        <v>39.453125</v>
      </c>
      <c r="BG324" s="84">
        <f t="shared" si="1248"/>
        <v>39.453125</v>
      </c>
      <c r="BH324" s="98">
        <f t="shared" si="1249"/>
        <v>157.8125</v>
      </c>
      <c r="BI324" s="98">
        <f t="shared" si="1250"/>
        <v>157.8125</v>
      </c>
      <c r="BJ324" s="98">
        <f t="shared" si="1250"/>
        <v>157.8125</v>
      </c>
      <c r="BK324" s="98">
        <f t="shared" si="1250"/>
        <v>157.8125</v>
      </c>
      <c r="BL324" s="98">
        <f t="shared" si="1250"/>
        <v>157.8125</v>
      </c>
    </row>
    <row r="325" spans="3:64" s="41" customFormat="1" ht="12.75" customHeight="1">
      <c r="C325" s="84" t="s">
        <v>127</v>
      </c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115"/>
      <c r="U325" s="114"/>
      <c r="V325" s="114"/>
      <c r="W325" s="114"/>
      <c r="X325" s="114"/>
      <c r="Y325" s="57"/>
      <c r="Z325" s="114"/>
      <c r="AA325" s="114"/>
      <c r="AB325" s="114"/>
      <c r="AC325" s="114"/>
      <c r="AD325" s="115"/>
      <c r="AE325" s="114"/>
      <c r="AF325" s="114"/>
      <c r="AG325" s="114"/>
      <c r="AH325" s="114"/>
      <c r="AI325" s="115"/>
      <c r="AJ325" s="58"/>
      <c r="AK325" s="58"/>
      <c r="AL325" s="58"/>
      <c r="AM325" s="58"/>
      <c r="AN325" s="57"/>
      <c r="AO325" s="58"/>
      <c r="AP325" s="58"/>
      <c r="AQ325" s="58"/>
      <c r="AR325" s="58"/>
      <c r="AS325" s="57"/>
      <c r="AT325" s="84"/>
      <c r="AU325" s="84"/>
      <c r="AV325" s="84"/>
      <c r="AW325" s="84">
        <f t="shared" si="1245"/>
        <v>5.42</v>
      </c>
      <c r="AX325" s="98"/>
      <c r="AY325" s="84">
        <f>AY359</f>
        <v>10.84</v>
      </c>
      <c r="AZ325" s="84">
        <f t="shared" ref="AZ325:BB325" si="1252">AZ359</f>
        <v>0</v>
      </c>
      <c r="BA325" s="84">
        <f t="shared" si="1252"/>
        <v>11.2736</v>
      </c>
      <c r="BB325" s="84">
        <f t="shared" si="1252"/>
        <v>0</v>
      </c>
      <c r="BC325" s="98">
        <f t="shared" si="1251"/>
        <v>22.113599999999998</v>
      </c>
      <c r="BD325" s="84">
        <f>BD359</f>
        <v>11.724543999999998</v>
      </c>
      <c r="BE325" s="84">
        <f t="shared" ref="BE325:BG325" si="1253">BE359</f>
        <v>0</v>
      </c>
      <c r="BF325" s="84">
        <f t="shared" si="1253"/>
        <v>12.193525759999998</v>
      </c>
      <c r="BG325" s="84">
        <f t="shared" si="1253"/>
        <v>0</v>
      </c>
      <c r="BH325" s="98">
        <f t="shared" si="1249"/>
        <v>23.918069759999995</v>
      </c>
      <c r="BI325" s="98">
        <f>BI359</f>
        <v>25.362533580799997</v>
      </c>
      <c r="BJ325" s="98">
        <f t="shared" ref="BJ325:BL325" si="1254">BJ359</f>
        <v>27.391536267263998</v>
      </c>
      <c r="BK325" s="98">
        <f t="shared" si="1254"/>
        <v>29.582859168645115</v>
      </c>
      <c r="BL325" s="98">
        <f t="shared" si="1254"/>
        <v>31.949487902136728</v>
      </c>
    </row>
    <row r="326" spans="3:64" s="41" customFormat="1" ht="12.75" customHeight="1">
      <c r="C326" s="84" t="s">
        <v>113</v>
      </c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115"/>
      <c r="U326" s="114"/>
      <c r="V326" s="114"/>
      <c r="W326" s="114"/>
      <c r="X326" s="114"/>
      <c r="Y326" s="57"/>
      <c r="Z326" s="114"/>
      <c r="AA326" s="114"/>
      <c r="AB326" s="114"/>
      <c r="AC326" s="114"/>
      <c r="AD326" s="115"/>
      <c r="AE326" s="114"/>
      <c r="AF326" s="114"/>
      <c r="AG326" s="114"/>
      <c r="AH326" s="114"/>
      <c r="AI326" s="115"/>
      <c r="AJ326" s="58"/>
      <c r="AK326" s="58"/>
      <c r="AL326" s="58"/>
      <c r="AM326" s="58"/>
      <c r="AN326" s="57"/>
      <c r="AO326" s="58"/>
      <c r="AP326" s="58"/>
      <c r="AQ326" s="58"/>
      <c r="AR326" s="58"/>
      <c r="AS326" s="57"/>
      <c r="AT326" s="84"/>
      <c r="AU326" s="84"/>
      <c r="AV326" s="84"/>
      <c r="AW326" s="84">
        <f t="shared" si="1245"/>
        <v>5.84375</v>
      </c>
      <c r="AX326" s="98"/>
      <c r="AY326" s="84">
        <f t="shared" ref="AY326:BB330" si="1255">AVERAGE(AX297:AY297)*AY312/4</f>
        <v>5.84375</v>
      </c>
      <c r="AZ326" s="84">
        <f t="shared" si="1255"/>
        <v>5.84375</v>
      </c>
      <c r="BA326" s="84">
        <f t="shared" si="1255"/>
        <v>5.84375</v>
      </c>
      <c r="BB326" s="84">
        <f t="shared" si="1255"/>
        <v>5.84375</v>
      </c>
      <c r="BC326" s="98">
        <f t="shared" si="1251"/>
        <v>23.375</v>
      </c>
      <c r="BD326" s="84">
        <f t="shared" ref="BD326:BG330" si="1256">AVERAGE(BC297:BD297)*BD312/4</f>
        <v>5.84375</v>
      </c>
      <c r="BE326" s="84">
        <f t="shared" si="1256"/>
        <v>5.84375</v>
      </c>
      <c r="BF326" s="84">
        <f t="shared" si="1256"/>
        <v>5.84375</v>
      </c>
      <c r="BG326" s="84">
        <f t="shared" si="1256"/>
        <v>5.84375</v>
      </c>
      <c r="BH326" s="98">
        <f t="shared" si="1249"/>
        <v>23.375</v>
      </c>
      <c r="BI326" s="98">
        <f t="shared" ref="BI326:BL330" si="1257">AVERAGE(BH297:BI297)*BI312</f>
        <v>23.375</v>
      </c>
      <c r="BJ326" s="98">
        <f t="shared" si="1257"/>
        <v>23.375</v>
      </c>
      <c r="BK326" s="98">
        <f t="shared" si="1257"/>
        <v>23.375</v>
      </c>
      <c r="BL326" s="98">
        <f t="shared" si="1257"/>
        <v>23.375</v>
      </c>
    </row>
    <row r="327" spans="3:64" s="41" customFormat="1" ht="12.75" customHeight="1">
      <c r="C327" s="84" t="s">
        <v>114</v>
      </c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115"/>
      <c r="U327" s="114"/>
      <c r="V327" s="114"/>
      <c r="W327" s="114"/>
      <c r="X327" s="114"/>
      <c r="Y327" s="57"/>
      <c r="Z327" s="114"/>
      <c r="AA327" s="114"/>
      <c r="AB327" s="114"/>
      <c r="AC327" s="114"/>
      <c r="AD327" s="115"/>
      <c r="AE327" s="114"/>
      <c r="AF327" s="114"/>
      <c r="AG327" s="114"/>
      <c r="AH327" s="114"/>
      <c r="AI327" s="115"/>
      <c r="AJ327" s="58"/>
      <c r="AK327" s="58"/>
      <c r="AL327" s="58"/>
      <c r="AM327" s="58"/>
      <c r="AN327" s="57"/>
      <c r="AO327" s="58"/>
      <c r="AP327" s="58"/>
      <c r="AQ327" s="58"/>
      <c r="AR327" s="58"/>
      <c r="AS327" s="57"/>
      <c r="AT327" s="84"/>
      <c r="AU327" s="84"/>
      <c r="AV327" s="84"/>
      <c r="AW327" s="84">
        <f t="shared" si="1245"/>
        <v>2.3125</v>
      </c>
      <c r="AX327" s="98"/>
      <c r="AY327" s="84">
        <f t="shared" si="1255"/>
        <v>2.3125</v>
      </c>
      <c r="AZ327" s="84">
        <f t="shared" si="1255"/>
        <v>2.3125</v>
      </c>
      <c r="BA327" s="84">
        <f t="shared" si="1255"/>
        <v>2.3125</v>
      </c>
      <c r="BB327" s="84">
        <f t="shared" si="1255"/>
        <v>1.15625</v>
      </c>
      <c r="BC327" s="98">
        <f t="shared" si="1251"/>
        <v>8.09375</v>
      </c>
      <c r="BD327" s="84">
        <f t="shared" si="1256"/>
        <v>0</v>
      </c>
      <c r="BE327" s="84">
        <f t="shared" si="1256"/>
        <v>0</v>
      </c>
      <c r="BF327" s="84">
        <f t="shared" si="1256"/>
        <v>0</v>
      </c>
      <c r="BG327" s="84">
        <f t="shared" si="1256"/>
        <v>0</v>
      </c>
      <c r="BH327" s="98">
        <f t="shared" si="1249"/>
        <v>0</v>
      </c>
      <c r="BI327" s="98">
        <f t="shared" si="1257"/>
        <v>0</v>
      </c>
      <c r="BJ327" s="98">
        <f t="shared" si="1257"/>
        <v>0</v>
      </c>
      <c r="BK327" s="98">
        <f t="shared" si="1257"/>
        <v>0</v>
      </c>
      <c r="BL327" s="98">
        <f t="shared" si="1257"/>
        <v>0</v>
      </c>
    </row>
    <row r="328" spans="3:64" s="41" customFormat="1" ht="12.75" customHeight="1">
      <c r="C328" s="84" t="s">
        <v>115</v>
      </c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115"/>
      <c r="U328" s="114"/>
      <c r="V328" s="114"/>
      <c r="W328" s="114"/>
      <c r="X328" s="114"/>
      <c r="Y328" s="57"/>
      <c r="Z328" s="114"/>
      <c r="AA328" s="114"/>
      <c r="AB328" s="114"/>
      <c r="AC328" s="114"/>
      <c r="AD328" s="115"/>
      <c r="AE328" s="114"/>
      <c r="AF328" s="114"/>
      <c r="AG328" s="114"/>
      <c r="AH328" s="114"/>
      <c r="AI328" s="115"/>
      <c r="AJ328" s="58"/>
      <c r="AK328" s="58"/>
      <c r="AL328" s="58"/>
      <c r="AM328" s="58"/>
      <c r="AN328" s="57"/>
      <c r="AO328" s="58"/>
      <c r="AP328" s="58"/>
      <c r="AQ328" s="58"/>
      <c r="AR328" s="58"/>
      <c r="AS328" s="57"/>
      <c r="AT328" s="84"/>
      <c r="AU328" s="84"/>
      <c r="AV328" s="84"/>
      <c r="AW328" s="84">
        <f t="shared" si="1245"/>
        <v>12.5</v>
      </c>
      <c r="AX328" s="98"/>
      <c r="AY328" s="84">
        <f t="shared" si="1255"/>
        <v>12.5</v>
      </c>
      <c r="AZ328" s="84">
        <f t="shared" si="1255"/>
        <v>12.5</v>
      </c>
      <c r="BA328" s="84">
        <f t="shared" si="1255"/>
        <v>12.5</v>
      </c>
      <c r="BB328" s="84">
        <f t="shared" si="1255"/>
        <v>12.5</v>
      </c>
      <c r="BC328" s="98">
        <f t="shared" si="1251"/>
        <v>50</v>
      </c>
      <c r="BD328" s="84">
        <f t="shared" si="1256"/>
        <v>12.5</v>
      </c>
      <c r="BE328" s="84">
        <f t="shared" si="1256"/>
        <v>12.5</v>
      </c>
      <c r="BF328" s="84">
        <f t="shared" si="1256"/>
        <v>12.5</v>
      </c>
      <c r="BG328" s="84">
        <f t="shared" si="1256"/>
        <v>12.5</v>
      </c>
      <c r="BH328" s="98">
        <f t="shared" si="1249"/>
        <v>50</v>
      </c>
      <c r="BI328" s="98">
        <f t="shared" si="1257"/>
        <v>50</v>
      </c>
      <c r="BJ328" s="98">
        <f t="shared" si="1257"/>
        <v>50</v>
      </c>
      <c r="BK328" s="98">
        <f t="shared" si="1257"/>
        <v>50</v>
      </c>
      <c r="BL328" s="98">
        <f t="shared" si="1257"/>
        <v>50</v>
      </c>
    </row>
    <row r="329" spans="3:64" s="41" customFormat="1" ht="12.75" customHeight="1">
      <c r="C329" s="84" t="s">
        <v>116</v>
      </c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115"/>
      <c r="U329" s="114"/>
      <c r="V329" s="114"/>
      <c r="W329" s="114"/>
      <c r="X329" s="114"/>
      <c r="Y329" s="57"/>
      <c r="Z329" s="114"/>
      <c r="AA329" s="114"/>
      <c r="AB329" s="114"/>
      <c r="AC329" s="114"/>
      <c r="AD329" s="115"/>
      <c r="AE329" s="114"/>
      <c r="AF329" s="114"/>
      <c r="AG329" s="114"/>
      <c r="AH329" s="114"/>
      <c r="AI329" s="115"/>
      <c r="AJ329" s="58"/>
      <c r="AK329" s="58"/>
      <c r="AL329" s="58"/>
      <c r="AM329" s="58"/>
      <c r="AN329" s="57"/>
      <c r="AO329" s="58"/>
      <c r="AP329" s="58"/>
      <c r="AQ329" s="58"/>
      <c r="AR329" s="58"/>
      <c r="AS329" s="57"/>
      <c r="AT329" s="84"/>
      <c r="AU329" s="84"/>
      <c r="AV329" s="84"/>
      <c r="AW329" s="84">
        <f t="shared" si="1245"/>
        <v>0.1353</v>
      </c>
      <c r="AX329" s="98"/>
      <c r="AY329" s="84">
        <f t="shared" si="1255"/>
        <v>0.1353</v>
      </c>
      <c r="AZ329" s="84">
        <f t="shared" si="1255"/>
        <v>0.1353</v>
      </c>
      <c r="BA329" s="84">
        <f t="shared" si="1255"/>
        <v>0.1353</v>
      </c>
      <c r="BB329" s="84">
        <f t="shared" si="1255"/>
        <v>0.1353</v>
      </c>
      <c r="BC329" s="98">
        <f t="shared" si="1251"/>
        <v>0.54120000000000001</v>
      </c>
      <c r="BD329" s="84">
        <f t="shared" si="1256"/>
        <v>0.1353</v>
      </c>
      <c r="BE329" s="84">
        <f t="shared" si="1256"/>
        <v>0.1353</v>
      </c>
      <c r="BF329" s="84">
        <f t="shared" si="1256"/>
        <v>0.1353</v>
      </c>
      <c r="BG329" s="84">
        <f t="shared" si="1256"/>
        <v>0.1353</v>
      </c>
      <c r="BH329" s="98">
        <f t="shared" si="1249"/>
        <v>0.54120000000000001</v>
      </c>
      <c r="BI329" s="98">
        <f t="shared" si="1257"/>
        <v>0.54120000000000001</v>
      </c>
      <c r="BJ329" s="98">
        <f t="shared" si="1257"/>
        <v>0.54120000000000001</v>
      </c>
      <c r="BK329" s="98">
        <f t="shared" si="1257"/>
        <v>0.54120000000000001</v>
      </c>
      <c r="BL329" s="98">
        <f t="shared" si="1257"/>
        <v>0.54120000000000001</v>
      </c>
    </row>
    <row r="330" spans="3:64" s="41" customFormat="1" ht="12.75" customHeight="1">
      <c r="C330" s="84" t="s">
        <v>72</v>
      </c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115"/>
      <c r="U330" s="114"/>
      <c r="V330" s="114"/>
      <c r="W330" s="114"/>
      <c r="X330" s="114"/>
      <c r="Y330" s="57"/>
      <c r="Z330" s="114"/>
      <c r="AA330" s="114"/>
      <c r="AB330" s="114"/>
      <c r="AC330" s="114"/>
      <c r="AD330" s="115"/>
      <c r="AE330" s="114"/>
      <c r="AF330" s="114"/>
      <c r="AG330" s="114"/>
      <c r="AH330" s="114"/>
      <c r="AI330" s="115"/>
      <c r="AJ330" s="58"/>
      <c r="AK330" s="58"/>
      <c r="AL330" s="58"/>
      <c r="AM330" s="58"/>
      <c r="AN330" s="57"/>
      <c r="AO330" s="58"/>
      <c r="AP330" s="58"/>
      <c r="AQ330" s="58"/>
      <c r="AR330" s="58"/>
      <c r="AS330" s="57"/>
      <c r="AT330" s="127"/>
      <c r="AU330" s="127"/>
      <c r="AV330" s="127"/>
      <c r="AW330" s="127">
        <f t="shared" si="1245"/>
        <v>0</v>
      </c>
      <c r="AX330" s="128"/>
      <c r="AY330" s="127">
        <f t="shared" si="1255"/>
        <v>0</v>
      </c>
      <c r="AZ330" s="127">
        <f t="shared" si="1255"/>
        <v>0</v>
      </c>
      <c r="BA330" s="127">
        <f t="shared" si="1255"/>
        <v>0</v>
      </c>
      <c r="BB330" s="127">
        <f t="shared" si="1255"/>
        <v>0</v>
      </c>
      <c r="BC330" s="128">
        <f t="shared" si="1247"/>
        <v>0</v>
      </c>
      <c r="BD330" s="127">
        <f t="shared" si="1256"/>
        <v>0</v>
      </c>
      <c r="BE330" s="127">
        <f t="shared" si="1256"/>
        <v>0</v>
      </c>
      <c r="BF330" s="127">
        <f t="shared" si="1256"/>
        <v>0</v>
      </c>
      <c r="BG330" s="127">
        <f t="shared" si="1256"/>
        <v>0</v>
      </c>
      <c r="BH330" s="128">
        <f t="shared" si="1249"/>
        <v>0</v>
      </c>
      <c r="BI330" s="128">
        <f t="shared" si="1257"/>
        <v>0</v>
      </c>
      <c r="BJ330" s="128">
        <f t="shared" si="1257"/>
        <v>0</v>
      </c>
      <c r="BK330" s="128">
        <f t="shared" si="1257"/>
        <v>0</v>
      </c>
      <c r="BL330" s="128">
        <f t="shared" si="1257"/>
        <v>0</v>
      </c>
    </row>
    <row r="331" spans="3:64" s="41" customFormat="1" ht="12.75" customHeight="1">
      <c r="C331" s="41" t="s">
        <v>73</v>
      </c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115"/>
      <c r="U331" s="114"/>
      <c r="V331" s="114"/>
      <c r="W331" s="114"/>
      <c r="X331" s="114"/>
      <c r="Y331" s="57"/>
      <c r="Z331" s="114"/>
      <c r="AA331" s="114"/>
      <c r="AB331" s="114"/>
      <c r="AC331" s="114"/>
      <c r="AD331" s="115"/>
      <c r="AE331" s="114"/>
      <c r="AF331" s="114"/>
      <c r="AG331" s="114"/>
      <c r="AH331" s="114"/>
      <c r="AI331" s="115"/>
      <c r="AJ331" s="58"/>
      <c r="AK331" s="58"/>
      <c r="AL331" s="58"/>
      <c r="AM331" s="58"/>
      <c r="AN331" s="57"/>
      <c r="AO331" s="58"/>
      <c r="AP331" s="58"/>
      <c r="AQ331" s="58"/>
      <c r="AR331" s="58"/>
      <c r="AS331" s="57"/>
      <c r="AW331" s="41">
        <f>SUM(AW320:AW330)</f>
        <v>118.34247499999999</v>
      </c>
      <c r="AX331" s="49"/>
      <c r="AY331" s="41">
        <f t="shared" ref="AY331:BL331" ca="1" si="1258">SUM(AY320:AY330)</f>
        <v>118.96230731052339</v>
      </c>
      <c r="AZ331" s="41">
        <f t="shared" ca="1" si="1258"/>
        <v>99.073038602424077</v>
      </c>
      <c r="BA331" s="41">
        <f t="shared" ca="1" si="1258"/>
        <v>99.368926989104978</v>
      </c>
      <c r="BB331" s="41">
        <f t="shared" ca="1" si="1258"/>
        <v>79.160957108971914</v>
      </c>
      <c r="BC331" s="49">
        <f t="shared" ca="1" si="1258"/>
        <v>396.56523001102437</v>
      </c>
      <c r="BD331" s="41">
        <f t="shared" ca="1" si="1258"/>
        <v>85.999335594865812</v>
      </c>
      <c r="BE331" s="41">
        <f t="shared" ca="1" si="1258"/>
        <v>66.671920285422203</v>
      </c>
      <c r="BF331" s="41">
        <f t="shared" ca="1" si="1258"/>
        <v>66.472272594782567</v>
      </c>
      <c r="BG331" s="41">
        <f t="shared" ca="1" si="1258"/>
        <v>43.010395791545115</v>
      </c>
      <c r="BH331" s="49">
        <f t="shared" ca="1" si="1258"/>
        <v>262.15392426661566</v>
      </c>
      <c r="BI331" s="49">
        <f t="shared" ca="1" si="1258"/>
        <v>92.045402099113687</v>
      </c>
      <c r="BJ331" s="49">
        <f t="shared" ca="1" si="1258"/>
        <v>-101.43163295805968</v>
      </c>
      <c r="BK331" s="49">
        <f t="shared" ca="1" si="1258"/>
        <v>-326.85917591148666</v>
      </c>
      <c r="BL331" s="49">
        <f t="shared" ca="1" si="1258"/>
        <v>-587.53414219916647</v>
      </c>
    </row>
    <row r="332" spans="3:64" s="41" customFormat="1" ht="12.75" customHeight="1"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115"/>
      <c r="U332" s="114"/>
      <c r="V332" s="114"/>
      <c r="W332" s="114"/>
      <c r="X332" s="114"/>
      <c r="Y332" s="57"/>
      <c r="Z332" s="114"/>
      <c r="AA332" s="114"/>
      <c r="AB332" s="114"/>
      <c r="AC332" s="114"/>
      <c r="AD332" s="115"/>
      <c r="AE332" s="114"/>
      <c r="AF332" s="114"/>
      <c r="AG332" s="114"/>
      <c r="AH332" s="114"/>
      <c r="AI332" s="115"/>
      <c r="AJ332" s="58"/>
      <c r="AK332" s="58"/>
      <c r="AL332" s="58"/>
      <c r="AM332" s="58"/>
      <c r="AN332" s="57"/>
      <c r="AO332" s="58"/>
      <c r="AP332" s="58"/>
      <c r="AQ332" s="58"/>
      <c r="AR332" s="58"/>
      <c r="AS332" s="57"/>
      <c r="AT332" s="58"/>
      <c r="AU332" s="58"/>
      <c r="AV332" s="58"/>
      <c r="AW332" s="58"/>
      <c r="AX332" s="57"/>
      <c r="AY332" s="167"/>
      <c r="AZ332" s="167"/>
      <c r="BA332" s="167"/>
      <c r="BB332" s="167"/>
      <c r="BC332" s="235"/>
      <c r="BD332" s="167"/>
      <c r="BE332" s="167"/>
      <c r="BF332" s="167"/>
      <c r="BG332" s="167"/>
      <c r="BH332" s="235"/>
      <c r="BI332" s="217"/>
      <c r="BJ332" s="217"/>
      <c r="BK332" s="217"/>
      <c r="BL332" s="217"/>
    </row>
    <row r="333" spans="3:64" s="41" customFormat="1" ht="16.95" customHeight="1">
      <c r="C333" s="135" t="s">
        <v>78</v>
      </c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115"/>
      <c r="U333" s="114"/>
      <c r="V333" s="114"/>
      <c r="W333" s="114"/>
      <c r="X333" s="114"/>
      <c r="Y333" s="57"/>
      <c r="Z333" s="114"/>
      <c r="AA333" s="114"/>
      <c r="AB333" s="114"/>
      <c r="AC333" s="114"/>
      <c r="AD333" s="115"/>
      <c r="AE333" s="114"/>
      <c r="AF333" s="114"/>
      <c r="AG333" s="114"/>
      <c r="AH333" s="114"/>
      <c r="AI333" s="115"/>
      <c r="AJ333" s="58"/>
      <c r="AK333" s="58"/>
      <c r="AL333" s="58"/>
      <c r="AM333" s="58"/>
      <c r="AN333" s="57"/>
      <c r="AO333" s="58"/>
      <c r="AP333" s="58"/>
      <c r="AQ333" s="58"/>
      <c r="AR333" s="58"/>
      <c r="AS333" s="57"/>
      <c r="AT333" s="58"/>
      <c r="AU333" s="58"/>
      <c r="AV333" s="58"/>
      <c r="AW333" s="58"/>
      <c r="AX333" s="57"/>
      <c r="AY333" s="58"/>
      <c r="AZ333" s="58"/>
      <c r="BA333" s="58"/>
      <c r="BB333" s="58"/>
      <c r="BC333" s="57"/>
      <c r="BD333" s="58"/>
      <c r="BE333" s="58"/>
      <c r="BF333" s="58"/>
      <c r="BG333" s="58"/>
      <c r="BH333" s="57"/>
      <c r="BI333" s="57"/>
      <c r="BJ333" s="57"/>
      <c r="BK333" s="57"/>
      <c r="BL333" s="57"/>
    </row>
    <row r="334" spans="3:64" s="41" customFormat="1" ht="12.75" customHeight="1">
      <c r="C334" s="84" t="s">
        <v>129</v>
      </c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115"/>
      <c r="U334" s="114"/>
      <c r="V334" s="114"/>
      <c r="W334" s="114"/>
      <c r="X334" s="114"/>
      <c r="Y334" s="57"/>
      <c r="Z334" s="114"/>
      <c r="AA334" s="114"/>
      <c r="AB334" s="114"/>
      <c r="AC334" s="114"/>
      <c r="AD334" s="115"/>
      <c r="AE334" s="114"/>
      <c r="AF334" s="114"/>
      <c r="AG334" s="114"/>
      <c r="AH334" s="114"/>
      <c r="AI334" s="115"/>
      <c r="AJ334" s="58"/>
      <c r="AK334" s="58"/>
      <c r="AL334" s="58"/>
      <c r="AM334" s="58"/>
      <c r="AN334" s="57"/>
      <c r="AO334" s="58"/>
      <c r="AP334" s="58"/>
      <c r="AQ334" s="58"/>
      <c r="AR334" s="58"/>
      <c r="AS334" s="57"/>
      <c r="AT334" s="75"/>
      <c r="AU334" s="75"/>
      <c r="AV334" s="75"/>
      <c r="AW334" s="75"/>
      <c r="AX334" s="140"/>
      <c r="AY334" s="75"/>
      <c r="AZ334" s="75">
        <f>-284-BC335-BC336-BC341</f>
        <v>-66</v>
      </c>
      <c r="BA334" s="75"/>
      <c r="BB334" s="75"/>
      <c r="BC334" s="98">
        <f t="shared" ref="BC334" si="1259">SUM(AY334:BB334)</f>
        <v>-66</v>
      </c>
      <c r="BD334" s="75"/>
      <c r="BE334" s="75"/>
      <c r="BF334" s="75"/>
      <c r="BG334" s="75"/>
      <c r="BH334" s="98">
        <f t="shared" ref="BH334" si="1260">SUM(BD334:BG334)</f>
        <v>0</v>
      </c>
      <c r="BI334" s="140"/>
      <c r="BJ334" s="140"/>
      <c r="BK334" s="140"/>
      <c r="BL334" s="140"/>
    </row>
    <row r="335" spans="3:64" s="41" customFormat="1" ht="12.75" customHeight="1">
      <c r="C335" s="84" t="s">
        <v>108</v>
      </c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115"/>
      <c r="U335" s="114"/>
      <c r="V335" s="114"/>
      <c r="W335" s="114"/>
      <c r="X335" s="114"/>
      <c r="Y335" s="57"/>
      <c r="Z335" s="114"/>
      <c r="AA335" s="114"/>
      <c r="AB335" s="114"/>
      <c r="AC335" s="114"/>
      <c r="AD335" s="115"/>
      <c r="AE335" s="114"/>
      <c r="AF335" s="114"/>
      <c r="AG335" s="114"/>
      <c r="AH335" s="114"/>
      <c r="AI335" s="115"/>
      <c r="AJ335" s="58"/>
      <c r="AK335" s="58"/>
      <c r="AL335" s="58"/>
      <c r="AM335" s="58"/>
      <c r="AN335" s="57"/>
      <c r="AO335" s="58"/>
      <c r="AP335" s="58"/>
      <c r="AQ335" s="58"/>
      <c r="AR335" s="58"/>
      <c r="AS335" s="57"/>
      <c r="AT335" s="165"/>
      <c r="AU335" s="165"/>
      <c r="AV335" s="165"/>
      <c r="AW335" s="165"/>
      <c r="AX335" s="140"/>
      <c r="AY335" s="234">
        <v>-3.25</v>
      </c>
      <c r="AZ335" s="234">
        <v>-3.25</v>
      </c>
      <c r="BA335" s="234">
        <v>-3.25</v>
      </c>
      <c r="BB335" s="234">
        <v>-3.25</v>
      </c>
      <c r="BC335" s="98">
        <f>SUM(AY335:BB335)</f>
        <v>-13</v>
      </c>
      <c r="BD335" s="234">
        <v>-3.25</v>
      </c>
      <c r="BE335" s="234">
        <v>-3.25</v>
      </c>
      <c r="BF335" s="234">
        <v>-3.25</v>
      </c>
      <c r="BG335" s="234">
        <v>-3.25</v>
      </c>
      <c r="BH335" s="98">
        <f>SUM(BD335:BG335)</f>
        <v>-13</v>
      </c>
      <c r="BI335" s="166"/>
      <c r="BJ335" s="166"/>
      <c r="BK335" s="140"/>
      <c r="BL335" s="166"/>
    </row>
    <row r="336" spans="3:64" s="41" customFormat="1" ht="12.75" customHeight="1">
      <c r="C336" s="84" t="s">
        <v>109</v>
      </c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115"/>
      <c r="U336" s="114"/>
      <c r="V336" s="114"/>
      <c r="W336" s="114"/>
      <c r="X336" s="114"/>
      <c r="Y336" s="57"/>
      <c r="Z336" s="114"/>
      <c r="AA336" s="114"/>
      <c r="AB336" s="114"/>
      <c r="AC336" s="114"/>
      <c r="AD336" s="115"/>
      <c r="AE336" s="114"/>
      <c r="AF336" s="114"/>
      <c r="AG336" s="114"/>
      <c r="AH336" s="114"/>
      <c r="AI336" s="115"/>
      <c r="AJ336" s="58"/>
      <c r="AK336" s="58"/>
      <c r="AL336" s="58"/>
      <c r="AM336" s="58"/>
      <c r="AN336" s="57"/>
      <c r="AO336" s="58"/>
      <c r="AP336" s="58"/>
      <c r="AQ336" s="58"/>
      <c r="AR336" s="58"/>
      <c r="AS336" s="57"/>
      <c r="AT336" s="165"/>
      <c r="AU336" s="165"/>
      <c r="AV336" s="165"/>
      <c r="AW336" s="165"/>
      <c r="AX336" s="140"/>
      <c r="AY336" s="67">
        <v>-1.25</v>
      </c>
      <c r="AZ336" s="67">
        <v>-1.25</v>
      </c>
      <c r="BA336" s="67">
        <v>-1.25</v>
      </c>
      <c r="BB336" s="67">
        <v>-1.25</v>
      </c>
      <c r="BC336" s="98">
        <f t="shared" ref="BC336:BC344" si="1261">SUM(AY336:BB336)</f>
        <v>-5</v>
      </c>
      <c r="BD336" s="67">
        <v>-1.25</v>
      </c>
      <c r="BE336" s="67">
        <v>-1.25</v>
      </c>
      <c r="BF336" s="67">
        <v>-1.25</v>
      </c>
      <c r="BG336" s="67">
        <v>-1.25</v>
      </c>
      <c r="BH336" s="98">
        <f t="shared" ref="BH336:BH344" si="1262">SUM(BD336:BG336)</f>
        <v>-5</v>
      </c>
      <c r="BI336" s="166"/>
      <c r="BJ336" s="166"/>
      <c r="BK336" s="140"/>
      <c r="BL336" s="166"/>
    </row>
    <row r="337" spans="1:64" s="41" customFormat="1" ht="12.75" customHeight="1">
      <c r="C337" s="84" t="s">
        <v>110</v>
      </c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115"/>
      <c r="U337" s="114"/>
      <c r="V337" s="114"/>
      <c r="W337" s="114"/>
      <c r="X337" s="114"/>
      <c r="Y337" s="57"/>
      <c r="Z337" s="114"/>
      <c r="AA337" s="114"/>
      <c r="AB337" s="114"/>
      <c r="AC337" s="114"/>
      <c r="AD337" s="115"/>
      <c r="AE337" s="114"/>
      <c r="AF337" s="114"/>
      <c r="AG337" s="114"/>
      <c r="AH337" s="114"/>
      <c r="AI337" s="115"/>
      <c r="AJ337" s="58"/>
      <c r="AK337" s="58"/>
      <c r="AL337" s="58"/>
      <c r="AM337" s="58"/>
      <c r="AN337" s="57"/>
      <c r="AO337" s="58"/>
      <c r="AP337" s="58"/>
      <c r="AQ337" s="58"/>
      <c r="AR337" s="58"/>
      <c r="AS337" s="57"/>
      <c r="AT337" s="165"/>
      <c r="AU337" s="165"/>
      <c r="AV337" s="165"/>
      <c r="AW337" s="165"/>
      <c r="AX337" s="140"/>
      <c r="AY337" s="136"/>
      <c r="AZ337" s="136"/>
      <c r="BA337" s="136"/>
      <c r="BB337" s="136"/>
      <c r="BC337" s="98">
        <f t="shared" si="1261"/>
        <v>0</v>
      </c>
      <c r="BD337" s="136"/>
      <c r="BE337" s="136"/>
      <c r="BF337" s="136"/>
      <c r="BG337" s="136"/>
      <c r="BH337" s="98">
        <f t="shared" si="1262"/>
        <v>0</v>
      </c>
      <c r="BI337" s="140"/>
      <c r="BJ337" s="166"/>
      <c r="BK337" s="140"/>
      <c r="BL337" s="166"/>
    </row>
    <row r="338" spans="1:64" s="41" customFormat="1" ht="12.75" customHeight="1">
      <c r="C338" s="84" t="s">
        <v>111</v>
      </c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115"/>
      <c r="U338" s="114"/>
      <c r="V338" s="114"/>
      <c r="W338" s="114"/>
      <c r="X338" s="114"/>
      <c r="Y338" s="57"/>
      <c r="Z338" s="114"/>
      <c r="AA338" s="114"/>
      <c r="AB338" s="114"/>
      <c r="AC338" s="114"/>
      <c r="AD338" s="115"/>
      <c r="AE338" s="114"/>
      <c r="AF338" s="114"/>
      <c r="AG338" s="114"/>
      <c r="AH338" s="114"/>
      <c r="AI338" s="115"/>
      <c r="AJ338" s="58"/>
      <c r="AK338" s="58"/>
      <c r="AL338" s="58"/>
      <c r="AM338" s="58"/>
      <c r="AN338" s="57"/>
      <c r="AO338" s="58"/>
      <c r="AP338" s="58"/>
      <c r="AQ338" s="58"/>
      <c r="AR338" s="58"/>
      <c r="AS338" s="57"/>
      <c r="AT338" s="165"/>
      <c r="AU338" s="165"/>
      <c r="AV338" s="165"/>
      <c r="AW338" s="165"/>
      <c r="AX338" s="140"/>
      <c r="AY338" s="136"/>
      <c r="AZ338" s="136"/>
      <c r="BA338" s="136"/>
      <c r="BB338" s="136"/>
      <c r="BC338" s="98">
        <f t="shared" si="1261"/>
        <v>0</v>
      </c>
      <c r="BD338" s="136"/>
      <c r="BE338" s="136"/>
      <c r="BF338" s="136"/>
      <c r="BG338" s="136"/>
      <c r="BH338" s="98">
        <f t="shared" si="1262"/>
        <v>0</v>
      </c>
      <c r="BI338" s="140"/>
      <c r="BJ338" s="166"/>
      <c r="BK338" s="140"/>
      <c r="BL338" s="166"/>
    </row>
    <row r="339" spans="1:64" s="41" customFormat="1" ht="12.75" customHeight="1">
      <c r="C339" s="84" t="s">
        <v>127</v>
      </c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115"/>
      <c r="U339" s="114"/>
      <c r="V339" s="114"/>
      <c r="W339" s="114"/>
      <c r="X339" s="114"/>
      <c r="Y339" s="57"/>
      <c r="Z339" s="114"/>
      <c r="AA339" s="114"/>
      <c r="AB339" s="114"/>
      <c r="AC339" s="114"/>
      <c r="AD339" s="115"/>
      <c r="AE339" s="114"/>
      <c r="AF339" s="114"/>
      <c r="AG339" s="114"/>
      <c r="AH339" s="114"/>
      <c r="AI339" s="115"/>
      <c r="AJ339" s="58"/>
      <c r="AK339" s="58"/>
      <c r="AL339" s="58"/>
      <c r="AM339" s="58"/>
      <c r="AN339" s="57"/>
      <c r="AO339" s="58"/>
      <c r="AP339" s="58"/>
      <c r="AQ339" s="58"/>
      <c r="AR339" s="58"/>
      <c r="AS339" s="57"/>
      <c r="AT339" s="165"/>
      <c r="AU339" s="165"/>
      <c r="AV339" s="165"/>
      <c r="AW339" s="165"/>
      <c r="AX339" s="140"/>
      <c r="AY339" s="136"/>
      <c r="AZ339" s="136"/>
      <c r="BA339" s="136"/>
      <c r="BB339" s="136"/>
      <c r="BC339" s="98">
        <f t="shared" si="1261"/>
        <v>0</v>
      </c>
      <c r="BD339" s="136"/>
      <c r="BE339" s="136"/>
      <c r="BF339" s="136"/>
      <c r="BG339" s="136"/>
      <c r="BH339" s="98">
        <f t="shared" si="1262"/>
        <v>0</v>
      </c>
      <c r="BI339" s="140"/>
      <c r="BJ339" s="166"/>
      <c r="BK339" s="140"/>
      <c r="BL339" s="166"/>
    </row>
    <row r="340" spans="1:64" s="41" customFormat="1" ht="12.75" customHeight="1">
      <c r="C340" s="84" t="s">
        <v>113</v>
      </c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115"/>
      <c r="U340" s="114"/>
      <c r="V340" s="114"/>
      <c r="W340" s="114"/>
      <c r="X340" s="114"/>
      <c r="Y340" s="57"/>
      <c r="Z340" s="114"/>
      <c r="AA340" s="114"/>
      <c r="AB340" s="114"/>
      <c r="AC340" s="114"/>
      <c r="AD340" s="115"/>
      <c r="AE340" s="114"/>
      <c r="AF340" s="114"/>
      <c r="AG340" s="114"/>
      <c r="AH340" s="114"/>
      <c r="AI340" s="115"/>
      <c r="AJ340" s="58"/>
      <c r="AK340" s="58"/>
      <c r="AL340" s="58"/>
      <c r="AM340" s="58"/>
      <c r="AN340" s="57"/>
      <c r="AO340" s="58"/>
      <c r="AP340" s="58"/>
      <c r="AQ340" s="58"/>
      <c r="AR340" s="58"/>
      <c r="AS340" s="57"/>
      <c r="AT340" s="165"/>
      <c r="AU340" s="165"/>
      <c r="AV340" s="165"/>
      <c r="AW340" s="165"/>
      <c r="AX340" s="140"/>
      <c r="AY340" s="136"/>
      <c r="AZ340" s="136"/>
      <c r="BA340" s="136"/>
      <c r="BB340" s="136"/>
      <c r="BC340" s="98">
        <f t="shared" si="1261"/>
        <v>0</v>
      </c>
      <c r="BD340" s="136"/>
      <c r="BE340" s="136"/>
      <c r="BF340" s="136"/>
      <c r="BG340" s="136"/>
      <c r="BH340" s="98">
        <f t="shared" si="1262"/>
        <v>0</v>
      </c>
      <c r="BI340" s="140"/>
      <c r="BJ340" s="166"/>
      <c r="BK340" s="140"/>
      <c r="BL340" s="166"/>
    </row>
    <row r="341" spans="1:64" s="41" customFormat="1" ht="12.75" customHeight="1">
      <c r="C341" s="84" t="s">
        <v>114</v>
      </c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115"/>
      <c r="U341" s="114"/>
      <c r="V341" s="114"/>
      <c r="W341" s="114"/>
      <c r="X341" s="114"/>
      <c r="Y341" s="57"/>
      <c r="Z341" s="114"/>
      <c r="AA341" s="114"/>
      <c r="AB341" s="114"/>
      <c r="AC341" s="114"/>
      <c r="AD341" s="115"/>
      <c r="AE341" s="114"/>
      <c r="AF341" s="114"/>
      <c r="AG341" s="114"/>
      <c r="AH341" s="114"/>
      <c r="AI341" s="115"/>
      <c r="AJ341" s="58"/>
      <c r="AK341" s="58"/>
      <c r="AL341" s="58"/>
      <c r="AM341" s="58"/>
      <c r="AN341" s="57"/>
      <c r="AO341" s="58"/>
      <c r="AP341" s="58"/>
      <c r="AQ341" s="58"/>
      <c r="AR341" s="58"/>
      <c r="AS341" s="57"/>
      <c r="AT341" s="165"/>
      <c r="AU341" s="165"/>
      <c r="AV341" s="165"/>
      <c r="AW341" s="165"/>
      <c r="AX341" s="140"/>
      <c r="AY341" s="136"/>
      <c r="AZ341" s="136"/>
      <c r="BA341" s="136"/>
      <c r="BB341" s="234">
        <v>-200</v>
      </c>
      <c r="BC341" s="98">
        <f t="shared" si="1261"/>
        <v>-200</v>
      </c>
      <c r="BD341" s="136"/>
      <c r="BE341" s="136"/>
      <c r="BF341" s="136"/>
      <c r="BG341" s="136"/>
      <c r="BH341" s="98">
        <f t="shared" si="1262"/>
        <v>0</v>
      </c>
      <c r="BI341" s="140"/>
      <c r="BJ341" s="166"/>
      <c r="BK341" s="140"/>
      <c r="BL341" s="166"/>
    </row>
    <row r="342" spans="1:64" s="41" customFormat="1" ht="12.75" customHeight="1">
      <c r="C342" s="84" t="s">
        <v>115</v>
      </c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115"/>
      <c r="U342" s="114"/>
      <c r="V342" s="114"/>
      <c r="W342" s="114"/>
      <c r="X342" s="114"/>
      <c r="Y342" s="57"/>
      <c r="Z342" s="114"/>
      <c r="AA342" s="114"/>
      <c r="AB342" s="114"/>
      <c r="AC342" s="114"/>
      <c r="AD342" s="115"/>
      <c r="AE342" s="114"/>
      <c r="AF342" s="114"/>
      <c r="AG342" s="114"/>
      <c r="AH342" s="114"/>
      <c r="AI342" s="115"/>
      <c r="AJ342" s="58"/>
      <c r="AK342" s="58"/>
      <c r="AL342" s="58"/>
      <c r="AM342" s="58"/>
      <c r="AN342" s="57"/>
      <c r="AO342" s="58"/>
      <c r="AP342" s="58"/>
      <c r="AQ342" s="58"/>
      <c r="AR342" s="58"/>
      <c r="AS342" s="57"/>
      <c r="AT342" s="165"/>
      <c r="AU342" s="165"/>
      <c r="AV342" s="165"/>
      <c r="AW342" s="165"/>
      <c r="AX342" s="140"/>
      <c r="AY342" s="136"/>
      <c r="AZ342" s="136"/>
      <c r="BA342" s="136"/>
      <c r="BB342" s="136"/>
      <c r="BC342" s="98">
        <f t="shared" si="1261"/>
        <v>0</v>
      </c>
      <c r="BD342" s="136"/>
      <c r="BE342" s="136"/>
      <c r="BF342" s="136"/>
      <c r="BG342" s="136"/>
      <c r="BH342" s="98">
        <f t="shared" si="1262"/>
        <v>0</v>
      </c>
      <c r="BI342" s="140"/>
      <c r="BJ342" s="166"/>
      <c r="BK342" s="140"/>
      <c r="BL342" s="166"/>
    </row>
    <row r="343" spans="1:64" s="41" customFormat="1" ht="12.75" customHeight="1">
      <c r="C343" s="84" t="s">
        <v>116</v>
      </c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115"/>
      <c r="U343" s="114"/>
      <c r="V343" s="114"/>
      <c r="W343" s="114"/>
      <c r="X343" s="114"/>
      <c r="Y343" s="57"/>
      <c r="Z343" s="114"/>
      <c r="AA343" s="114"/>
      <c r="AB343" s="114"/>
      <c r="AC343" s="114"/>
      <c r="AD343" s="115"/>
      <c r="AE343" s="114"/>
      <c r="AF343" s="114"/>
      <c r="AG343" s="114"/>
      <c r="AH343" s="114"/>
      <c r="AI343" s="115"/>
      <c r="AJ343" s="58"/>
      <c r="AK343" s="58"/>
      <c r="AL343" s="58"/>
      <c r="AM343" s="58"/>
      <c r="AN343" s="57"/>
      <c r="AO343" s="58"/>
      <c r="AP343" s="58"/>
      <c r="AQ343" s="58"/>
      <c r="AR343" s="58"/>
      <c r="AS343" s="57"/>
      <c r="AT343" s="165"/>
      <c r="AU343" s="165"/>
      <c r="AV343" s="165"/>
      <c r="AW343" s="165"/>
      <c r="AX343" s="140"/>
      <c r="AY343" s="136"/>
      <c r="AZ343" s="136"/>
      <c r="BA343" s="136"/>
      <c r="BB343" s="136"/>
      <c r="BC343" s="98">
        <f t="shared" si="1261"/>
        <v>0</v>
      </c>
      <c r="BD343" s="136"/>
      <c r="BE343" s="136"/>
      <c r="BF343" s="136"/>
      <c r="BG343" s="136"/>
      <c r="BH343" s="98">
        <f t="shared" si="1262"/>
        <v>0</v>
      </c>
      <c r="BI343" s="140"/>
      <c r="BJ343" s="166"/>
      <c r="BK343" s="140"/>
      <c r="BL343" s="166"/>
    </row>
    <row r="344" spans="1:64" s="41" customFormat="1" ht="12.75" customHeight="1">
      <c r="C344" s="84" t="s">
        <v>72</v>
      </c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115"/>
      <c r="U344" s="114"/>
      <c r="V344" s="114"/>
      <c r="W344" s="114"/>
      <c r="X344" s="114"/>
      <c r="Y344" s="57"/>
      <c r="Z344" s="114"/>
      <c r="AA344" s="114"/>
      <c r="AB344" s="114"/>
      <c r="AC344" s="114"/>
      <c r="AD344" s="115"/>
      <c r="AE344" s="114"/>
      <c r="AF344" s="114"/>
      <c r="AG344" s="114"/>
      <c r="AH344" s="114"/>
      <c r="AI344" s="115"/>
      <c r="AJ344" s="58"/>
      <c r="AK344" s="58"/>
      <c r="AL344" s="58"/>
      <c r="AM344" s="58"/>
      <c r="AN344" s="57"/>
      <c r="AO344" s="58"/>
      <c r="AP344" s="58"/>
      <c r="AQ344" s="58"/>
      <c r="AR344" s="58"/>
      <c r="AS344" s="57"/>
      <c r="AT344" s="137"/>
      <c r="AU344" s="137"/>
      <c r="AV344" s="137"/>
      <c r="AW344" s="137"/>
      <c r="AX344" s="138"/>
      <c r="AY344" s="137">
        <f ca="1">-(SUM(AY334:AY343)+AY421-300+AX7)</f>
        <v>-459.67622603638767</v>
      </c>
      <c r="AZ344" s="137">
        <f ca="1">-(SUM(AZ334:AZ343)+AZ421-300+AY7)</f>
        <v>-340.43306943214509</v>
      </c>
      <c r="BA344" s="137">
        <f ca="1">-(SUM(BA334:BA343)+BA421-300+AZ7)</f>
        <v>-645.99921204796146</v>
      </c>
      <c r="BB344" s="137">
        <f ca="1">-(SUM(BB334:BB343)+BB421-300+BA7)</f>
        <v>-97.293771539773786</v>
      </c>
      <c r="BC344" s="128">
        <f t="shared" ca="1" si="1261"/>
        <v>-1543.4022790562681</v>
      </c>
      <c r="BD344" s="137">
        <f ca="1">-(SUM(BD334:BD343)+BD421-300+BC7)</f>
        <v>-254.86835542699896</v>
      </c>
      <c r="BE344" s="137">
        <f ca="1">-(SUM(BE334:BE343)+BE421-300+BD7)</f>
        <v>-471.49239910861598</v>
      </c>
      <c r="BF344" s="137">
        <f ca="1">-(SUM(BF334:BF343)+BF421-300+BE7)</f>
        <v>-717.69948018023763</v>
      </c>
      <c r="BG344" s="137">
        <f ca="1">-(SUM(BG334:BG343)+BG421-300+BF7)</f>
        <v>-362.81390563980602</v>
      </c>
      <c r="BH344" s="128">
        <f t="shared" ca="1" si="1262"/>
        <v>-1806.8741403556585</v>
      </c>
      <c r="BI344" s="138">
        <f ca="1">-(SUM(BI334:BI343)+BI421-300+BH7)</f>
        <v>-2177.974491651662</v>
      </c>
      <c r="BJ344" s="138">
        <f ca="1">-(SUM(BJ334:BJ343)+BJ421-300+BI7)</f>
        <v>-2544.3935697888533</v>
      </c>
      <c r="BK344" s="138">
        <f ca="1">-(SUM(BK334:BK343)+BK421-300+BJ7)</f>
        <v>-2953.6466682499918</v>
      </c>
      <c r="BL344" s="138">
        <f ca="1">-(SUM(BL334:BL343)+BL421-300+BK7)</f>
        <v>-3400.0150472372411</v>
      </c>
    </row>
    <row r="345" spans="1:64" s="41" customFormat="1" ht="12.75" customHeight="1">
      <c r="C345" s="41" t="s">
        <v>73</v>
      </c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115"/>
      <c r="U345" s="114"/>
      <c r="V345" s="114"/>
      <c r="W345" s="114"/>
      <c r="X345" s="114"/>
      <c r="Y345" s="57"/>
      <c r="Z345" s="114"/>
      <c r="AA345" s="114"/>
      <c r="AB345" s="114"/>
      <c r="AC345" s="114"/>
      <c r="AD345" s="115"/>
      <c r="AE345" s="114"/>
      <c r="AF345" s="114"/>
      <c r="AG345" s="114"/>
      <c r="AH345" s="114"/>
      <c r="AI345" s="115"/>
      <c r="AJ345" s="58"/>
      <c r="AK345" s="58"/>
      <c r="AL345" s="58"/>
      <c r="AM345" s="58"/>
      <c r="AN345" s="57"/>
      <c r="AO345" s="58"/>
      <c r="AP345" s="58"/>
      <c r="AQ345" s="58"/>
      <c r="AR345" s="58"/>
      <c r="AS345" s="57"/>
      <c r="AW345" s="41">
        <f t="shared" ref="AW345:BL345" si="1263">SUM(AW334:AW344)</f>
        <v>0</v>
      </c>
      <c r="AX345" s="49">
        <f t="shared" si="1263"/>
        <v>0</v>
      </c>
      <c r="AY345" s="41">
        <f t="shared" ca="1" si="1263"/>
        <v>-464.17622603638767</v>
      </c>
      <c r="AZ345" s="41">
        <f t="shared" ca="1" si="1263"/>
        <v>-410.93306943214509</v>
      </c>
      <c r="BA345" s="41">
        <f t="shared" ca="1" si="1263"/>
        <v>-650.49921204796146</v>
      </c>
      <c r="BB345" s="41">
        <f t="shared" ca="1" si="1263"/>
        <v>-301.79377153977379</v>
      </c>
      <c r="BC345" s="49">
        <f t="shared" ca="1" si="1263"/>
        <v>-1827.4022790562681</v>
      </c>
      <c r="BD345" s="41">
        <f t="shared" ca="1" si="1263"/>
        <v>-259.36835542699896</v>
      </c>
      <c r="BE345" s="41">
        <f t="shared" ca="1" si="1263"/>
        <v>-475.99239910861598</v>
      </c>
      <c r="BF345" s="41">
        <f t="shared" ca="1" si="1263"/>
        <v>-722.19948018023763</v>
      </c>
      <c r="BG345" s="41">
        <f t="shared" ca="1" si="1263"/>
        <v>-367.31390563980602</v>
      </c>
      <c r="BH345" s="49">
        <f t="shared" ca="1" si="1263"/>
        <v>-1824.8741403556585</v>
      </c>
      <c r="BI345" s="49">
        <f t="shared" ca="1" si="1263"/>
        <v>-2177.974491651662</v>
      </c>
      <c r="BJ345" s="49">
        <f t="shared" ca="1" si="1263"/>
        <v>-2544.3935697888533</v>
      </c>
      <c r="BK345" s="49">
        <f t="shared" ca="1" si="1263"/>
        <v>-2953.6466682499918</v>
      </c>
      <c r="BL345" s="49">
        <f t="shared" ca="1" si="1263"/>
        <v>-3400.0150472372411</v>
      </c>
    </row>
    <row r="346" spans="1:64" s="41" customFormat="1" ht="12.75" customHeight="1"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115"/>
      <c r="U346" s="114"/>
      <c r="V346" s="114"/>
      <c r="W346" s="114"/>
      <c r="X346" s="114"/>
      <c r="Y346" s="57"/>
      <c r="Z346" s="114"/>
      <c r="AA346" s="114"/>
      <c r="AB346" s="114"/>
      <c r="AC346" s="114"/>
      <c r="AD346" s="115"/>
      <c r="AE346" s="114"/>
      <c r="AF346" s="114"/>
      <c r="AG346" s="114"/>
      <c r="AH346" s="114"/>
      <c r="AI346" s="115"/>
      <c r="AJ346" s="58"/>
      <c r="AK346" s="58"/>
      <c r="AL346" s="58"/>
      <c r="AM346" s="58"/>
      <c r="AN346" s="57"/>
      <c r="AO346" s="58"/>
      <c r="AP346" s="58"/>
      <c r="AQ346" s="58"/>
      <c r="AR346" s="58"/>
      <c r="AS346" s="57"/>
      <c r="AT346" s="58"/>
      <c r="AU346" s="58"/>
      <c r="AV346" s="58"/>
      <c r="AW346" s="58"/>
      <c r="AX346" s="57"/>
      <c r="AY346" s="136"/>
      <c r="AZ346" s="136"/>
      <c r="BA346" s="136"/>
      <c r="BB346" s="136"/>
      <c r="BC346" s="98"/>
      <c r="BD346" s="136"/>
      <c r="BE346" s="136"/>
      <c r="BF346" s="136"/>
      <c r="BG346" s="136"/>
      <c r="BH346" s="98">
        <f t="shared" ref="BH346" si="1264">SUM(BD346:BG346)</f>
        <v>0</v>
      </c>
      <c r="BI346" s="140"/>
      <c r="BJ346" s="166"/>
      <c r="BK346" s="140"/>
      <c r="BL346" s="166"/>
    </row>
    <row r="347" spans="1:64" s="41" customFormat="1" ht="12.75" customHeight="1"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115"/>
      <c r="U347" s="114"/>
      <c r="V347" s="114"/>
      <c r="W347" s="114"/>
      <c r="X347" s="114"/>
      <c r="Y347" s="57"/>
      <c r="Z347" s="114"/>
      <c r="AA347" s="114"/>
      <c r="AB347" s="114"/>
      <c r="AC347" s="114"/>
      <c r="AD347" s="115"/>
      <c r="AE347" s="114"/>
      <c r="AF347" s="114"/>
      <c r="AG347" s="114"/>
      <c r="AH347" s="114"/>
      <c r="AI347" s="115"/>
      <c r="AJ347" s="58"/>
      <c r="AK347" s="58"/>
      <c r="AL347" s="58"/>
      <c r="AM347" s="58"/>
      <c r="AN347" s="57"/>
      <c r="AO347" s="58"/>
      <c r="AP347" s="58"/>
      <c r="AQ347" s="58"/>
      <c r="AR347" s="58"/>
      <c r="AS347" s="57"/>
      <c r="AT347" s="58"/>
      <c r="AU347" s="58"/>
      <c r="AV347" s="58"/>
      <c r="AW347" s="58"/>
      <c r="AX347" s="57"/>
      <c r="AY347" s="58"/>
      <c r="AZ347" s="58"/>
      <c r="BA347" s="58"/>
      <c r="BB347" s="58"/>
      <c r="BC347" s="57"/>
      <c r="BD347" s="58"/>
      <c r="BE347" s="58"/>
      <c r="BF347" s="58"/>
      <c r="BG347" s="58"/>
      <c r="BH347" s="57"/>
      <c r="BI347" s="57"/>
      <c r="BJ347" s="57"/>
      <c r="BK347" s="57"/>
      <c r="BL347" s="57"/>
    </row>
    <row r="348" spans="1:64" s="55" customFormat="1" ht="12.75" customHeight="1">
      <c r="A348" s="38"/>
      <c r="B348" s="38"/>
      <c r="C348" s="38"/>
      <c r="D348" s="38"/>
    </row>
    <row r="349" spans="1:64" s="55" customFormat="1" ht="12.75" customHeight="1">
      <c r="A349" s="38"/>
      <c r="B349" s="38"/>
      <c r="C349" s="38"/>
      <c r="D349" s="38"/>
    </row>
    <row r="350" spans="1:64" s="55" customFormat="1" ht="12.75" customHeight="1">
      <c r="A350" s="38"/>
      <c r="B350" s="44" t="s">
        <v>35</v>
      </c>
      <c r="C350" s="45"/>
      <c r="D350" s="38"/>
    </row>
    <row r="351" spans="1:64" s="55" customFormat="1" ht="12.75" customHeight="1">
      <c r="A351" s="38"/>
      <c r="B351" s="38"/>
      <c r="C351" s="84" t="s">
        <v>66</v>
      </c>
      <c r="D351" s="38"/>
      <c r="R351" s="55">
        <f t="shared" ref="R351:BL351" si="1265">R355-(R266)</f>
        <v>0</v>
      </c>
      <c r="S351" s="55">
        <f t="shared" si="1265"/>
        <v>0</v>
      </c>
      <c r="T351" s="55">
        <f t="shared" si="1265"/>
        <v>0</v>
      </c>
      <c r="U351" s="55">
        <f t="shared" si="1265"/>
        <v>0</v>
      </c>
      <c r="V351" s="55">
        <f t="shared" si="1265"/>
        <v>0</v>
      </c>
      <c r="W351" s="55">
        <f t="shared" si="1265"/>
        <v>0</v>
      </c>
      <c r="X351" s="55">
        <f t="shared" si="1265"/>
        <v>-1</v>
      </c>
      <c r="Y351" s="55">
        <f t="shared" si="1265"/>
        <v>-1</v>
      </c>
      <c r="Z351" s="55">
        <f t="shared" si="1265"/>
        <v>0</v>
      </c>
      <c r="AA351" s="55">
        <f t="shared" si="1265"/>
        <v>-1</v>
      </c>
      <c r="AB351" s="55">
        <f t="shared" si="1265"/>
        <v>1</v>
      </c>
      <c r="AC351" s="55">
        <f t="shared" si="1265"/>
        <v>-1</v>
      </c>
      <c r="AD351" s="55">
        <f t="shared" si="1265"/>
        <v>-1</v>
      </c>
      <c r="AE351" s="55">
        <f t="shared" si="1265"/>
        <v>0</v>
      </c>
      <c r="AF351" s="55">
        <f t="shared" si="1265"/>
        <v>0</v>
      </c>
      <c r="AG351" s="55">
        <f t="shared" si="1265"/>
        <v>0</v>
      </c>
      <c r="AH351" s="55">
        <f t="shared" si="1265"/>
        <v>0</v>
      </c>
      <c r="AI351" s="55">
        <f t="shared" si="1265"/>
        <v>0</v>
      </c>
      <c r="AJ351" s="55">
        <f t="shared" si="1265"/>
        <v>0</v>
      </c>
      <c r="AK351" s="55">
        <f t="shared" si="1265"/>
        <v>0</v>
      </c>
      <c r="AL351" s="55">
        <f t="shared" si="1265"/>
        <v>0</v>
      </c>
      <c r="AM351" s="55">
        <f t="shared" si="1265"/>
        <v>0</v>
      </c>
      <c r="AN351" s="55">
        <f t="shared" si="1265"/>
        <v>0</v>
      </c>
      <c r="AO351" s="55">
        <f t="shared" si="1265"/>
        <v>0</v>
      </c>
      <c r="AP351" s="55">
        <f t="shared" si="1265"/>
        <v>0</v>
      </c>
      <c r="AQ351" s="55">
        <f t="shared" si="1265"/>
        <v>0</v>
      </c>
      <c r="AR351" s="55">
        <f t="shared" si="1265"/>
        <v>0</v>
      </c>
      <c r="AS351" s="55">
        <f t="shared" si="1265"/>
        <v>0</v>
      </c>
      <c r="AT351" s="55">
        <f t="shared" si="1265"/>
        <v>0</v>
      </c>
      <c r="AU351" s="55">
        <f t="shared" si="1265"/>
        <v>0</v>
      </c>
      <c r="AV351" s="55">
        <f t="shared" si="1265"/>
        <v>0</v>
      </c>
      <c r="AW351" s="55">
        <f t="shared" si="1265"/>
        <v>0</v>
      </c>
      <c r="AX351" s="55">
        <f t="shared" si="1265"/>
        <v>0</v>
      </c>
      <c r="AY351" s="55">
        <f t="shared" ca="1" si="1265"/>
        <v>0</v>
      </c>
      <c r="AZ351" s="55">
        <f t="shared" ca="1" si="1265"/>
        <v>0</v>
      </c>
      <c r="BA351" s="55">
        <f t="shared" ca="1" si="1265"/>
        <v>0</v>
      </c>
      <c r="BB351" s="55">
        <f t="shared" ca="1" si="1265"/>
        <v>0</v>
      </c>
      <c r="BC351" s="55">
        <f t="shared" ca="1" si="1265"/>
        <v>5.6843418860808015E-13</v>
      </c>
      <c r="BD351" s="55">
        <f t="shared" ca="1" si="1265"/>
        <v>0</v>
      </c>
      <c r="BE351" s="55">
        <f t="shared" ca="1" si="1265"/>
        <v>0</v>
      </c>
      <c r="BF351" s="55">
        <f t="shared" ca="1" si="1265"/>
        <v>0</v>
      </c>
      <c r="BG351" s="55">
        <f t="shared" ca="1" si="1265"/>
        <v>0</v>
      </c>
      <c r="BH351" s="55">
        <f t="shared" ca="1" si="1265"/>
        <v>3.1263880373444408E-13</v>
      </c>
      <c r="BI351" s="55">
        <f t="shared" ca="1" si="1265"/>
        <v>0</v>
      </c>
      <c r="BJ351" s="55">
        <f t="shared" ca="1" si="1265"/>
        <v>0</v>
      </c>
      <c r="BK351" s="55">
        <f t="shared" ca="1" si="1265"/>
        <v>0</v>
      </c>
      <c r="BL351" s="55">
        <f t="shared" ca="1" si="1265"/>
        <v>0</v>
      </c>
    </row>
    <row r="352" spans="1:64" s="55" customFormat="1" ht="12.75" customHeight="1">
      <c r="A352" s="38"/>
      <c r="B352" s="38"/>
      <c r="C352" s="84" t="s">
        <v>66</v>
      </c>
      <c r="D352" s="38"/>
      <c r="R352" s="55">
        <f t="shared" ref="R352:BL352" si="1266">R419-R7-R8</f>
        <v>0</v>
      </c>
      <c r="S352" s="55">
        <f t="shared" si="1266"/>
        <v>0</v>
      </c>
      <c r="T352" s="55">
        <f t="shared" si="1266"/>
        <v>-1</v>
      </c>
      <c r="U352" s="55">
        <f t="shared" si="1266"/>
        <v>0</v>
      </c>
      <c r="V352" s="55">
        <f t="shared" si="1266"/>
        <v>0</v>
      </c>
      <c r="W352" s="55">
        <f t="shared" si="1266"/>
        <v>0</v>
      </c>
      <c r="X352" s="55">
        <f t="shared" si="1266"/>
        <v>71</v>
      </c>
      <c r="Y352" s="55">
        <f t="shared" si="1266"/>
        <v>70</v>
      </c>
      <c r="Z352" s="55">
        <f t="shared" si="1266"/>
        <v>-71</v>
      </c>
      <c r="AA352" s="55">
        <f t="shared" si="1266"/>
        <v>0</v>
      </c>
      <c r="AB352" s="55">
        <f t="shared" si="1266"/>
        <v>0</v>
      </c>
      <c r="AC352" s="55">
        <f t="shared" si="1266"/>
        <v>0</v>
      </c>
      <c r="AD352" s="55">
        <f t="shared" si="1266"/>
        <v>-71</v>
      </c>
      <c r="AE352" s="55">
        <f t="shared" si="1266"/>
        <v>-3</v>
      </c>
      <c r="AF352" s="55">
        <f t="shared" si="1266"/>
        <v>3</v>
      </c>
      <c r="AG352" s="55">
        <f t="shared" si="1266"/>
        <v>0</v>
      </c>
      <c r="AH352" s="55">
        <f t="shared" si="1266"/>
        <v>0</v>
      </c>
      <c r="AI352" s="55">
        <f t="shared" si="1266"/>
        <v>0</v>
      </c>
      <c r="AJ352" s="55">
        <f t="shared" si="1266"/>
        <v>0</v>
      </c>
      <c r="AK352" s="55">
        <f t="shared" si="1266"/>
        <v>0</v>
      </c>
      <c r="AL352" s="55">
        <f t="shared" si="1266"/>
        <v>0</v>
      </c>
      <c r="AM352" s="55">
        <f t="shared" si="1266"/>
        <v>0</v>
      </c>
      <c r="AN352" s="55">
        <f t="shared" si="1266"/>
        <v>0</v>
      </c>
      <c r="AO352" s="55">
        <f t="shared" si="1266"/>
        <v>0</v>
      </c>
      <c r="AP352" s="55">
        <f t="shared" si="1266"/>
        <v>0</v>
      </c>
      <c r="AQ352" s="55">
        <f t="shared" si="1266"/>
        <v>0</v>
      </c>
      <c r="AR352" s="55">
        <f t="shared" si="1266"/>
        <v>0</v>
      </c>
      <c r="AS352" s="55">
        <f t="shared" si="1266"/>
        <v>0</v>
      </c>
      <c r="AT352" s="55">
        <f t="shared" si="1266"/>
        <v>0</v>
      </c>
      <c r="AU352" s="55">
        <f t="shared" si="1266"/>
        <v>0</v>
      </c>
      <c r="AV352" s="55">
        <f t="shared" si="1266"/>
        <v>0</v>
      </c>
      <c r="AW352" s="55">
        <f t="shared" si="1266"/>
        <v>0</v>
      </c>
      <c r="AX352" s="55">
        <f t="shared" si="1266"/>
        <v>0</v>
      </c>
      <c r="AY352" s="55">
        <f t="shared" ca="1" si="1266"/>
        <v>0</v>
      </c>
      <c r="AZ352" s="55">
        <f t="shared" ca="1" si="1266"/>
        <v>0</v>
      </c>
      <c r="BA352" s="55">
        <f t="shared" ca="1" si="1266"/>
        <v>0</v>
      </c>
      <c r="BB352" s="55">
        <f t="shared" ca="1" si="1266"/>
        <v>0</v>
      </c>
      <c r="BC352" s="55">
        <f t="shared" ca="1" si="1266"/>
        <v>0</v>
      </c>
      <c r="BD352" s="55">
        <f t="shared" ca="1" si="1266"/>
        <v>0</v>
      </c>
      <c r="BE352" s="55">
        <f t="shared" ca="1" si="1266"/>
        <v>0</v>
      </c>
      <c r="BF352" s="55">
        <f t="shared" ca="1" si="1266"/>
        <v>0</v>
      </c>
      <c r="BG352" s="55">
        <f t="shared" ca="1" si="1266"/>
        <v>0</v>
      </c>
      <c r="BH352" s="55">
        <f t="shared" ca="1" si="1266"/>
        <v>0</v>
      </c>
      <c r="BI352" s="55">
        <f t="shared" ca="1" si="1266"/>
        <v>0</v>
      </c>
      <c r="BJ352" s="55">
        <f t="shared" ca="1" si="1266"/>
        <v>0</v>
      </c>
      <c r="BK352" s="55">
        <f t="shared" ca="1" si="1266"/>
        <v>0</v>
      </c>
      <c r="BL352" s="55">
        <f t="shared" ca="1" si="1266"/>
        <v>0</v>
      </c>
    </row>
    <row r="353" spans="1:64" s="11" customFormat="1" ht="12.75" customHeight="1">
      <c r="E353" s="46">
        <f t="shared" ref="E353:AJ353" si="1267">E77</f>
        <v>2004</v>
      </c>
      <c r="F353" s="46">
        <f t="shared" si="1267"/>
        <v>2005</v>
      </c>
      <c r="G353" s="46">
        <f t="shared" si="1267"/>
        <v>2006</v>
      </c>
      <c r="H353" s="46">
        <f t="shared" si="1267"/>
        <v>2007</v>
      </c>
      <c r="I353" s="46">
        <f t="shared" si="1267"/>
        <v>2008</v>
      </c>
      <c r="J353" s="46">
        <f t="shared" si="1267"/>
        <v>2009</v>
      </c>
      <c r="K353" s="46">
        <f t="shared" si="1267"/>
        <v>2010</v>
      </c>
      <c r="L353" s="46">
        <f t="shared" si="1267"/>
        <v>2011</v>
      </c>
      <c r="M353" s="46">
        <f t="shared" si="1267"/>
        <v>2012</v>
      </c>
      <c r="N353" s="46">
        <f t="shared" si="1267"/>
        <v>2013</v>
      </c>
      <c r="O353" s="46">
        <f t="shared" si="1267"/>
        <v>2014</v>
      </c>
      <c r="P353" s="46">
        <f t="shared" si="1267"/>
        <v>2015</v>
      </c>
      <c r="Q353" s="46">
        <f t="shared" si="1267"/>
        <v>2016</v>
      </c>
      <c r="R353" s="46">
        <f t="shared" si="1267"/>
        <v>2017</v>
      </c>
      <c r="S353" s="46">
        <f t="shared" si="1267"/>
        <v>2018</v>
      </c>
      <c r="T353" s="46">
        <f t="shared" si="1267"/>
        <v>2019</v>
      </c>
      <c r="U353" s="30" t="str">
        <f t="shared" si="1267"/>
        <v>1Q</v>
      </c>
      <c r="V353" s="30" t="str">
        <f t="shared" si="1267"/>
        <v>2Q</v>
      </c>
      <c r="W353" s="30" t="str">
        <f t="shared" si="1267"/>
        <v>3Q</v>
      </c>
      <c r="X353" s="30" t="str">
        <f t="shared" si="1267"/>
        <v>4Q</v>
      </c>
      <c r="Y353" s="46">
        <f t="shared" si="1267"/>
        <v>2020</v>
      </c>
      <c r="Z353" s="30" t="str">
        <f t="shared" si="1267"/>
        <v>1Q</v>
      </c>
      <c r="AA353" s="30" t="str">
        <f t="shared" si="1267"/>
        <v>2Q</v>
      </c>
      <c r="AB353" s="30" t="str">
        <f t="shared" si="1267"/>
        <v>3Q</v>
      </c>
      <c r="AC353" s="30" t="str">
        <f t="shared" si="1267"/>
        <v>4Q</v>
      </c>
      <c r="AD353" s="46">
        <f t="shared" si="1267"/>
        <v>2021</v>
      </c>
      <c r="AE353" s="30" t="str">
        <f t="shared" si="1267"/>
        <v>1Q</v>
      </c>
      <c r="AF353" s="30" t="str">
        <f t="shared" si="1267"/>
        <v>2Q</v>
      </c>
      <c r="AG353" s="30" t="str">
        <f t="shared" si="1267"/>
        <v>3Q</v>
      </c>
      <c r="AH353" s="30" t="str">
        <f t="shared" si="1267"/>
        <v>4Q</v>
      </c>
      <c r="AI353" s="46">
        <f t="shared" si="1267"/>
        <v>2022</v>
      </c>
      <c r="AJ353" s="30" t="str">
        <f t="shared" si="1267"/>
        <v>1Q</v>
      </c>
      <c r="AK353" s="30" t="str">
        <f t="shared" ref="AK353:BL353" si="1268">AK77</f>
        <v>2Q</v>
      </c>
      <c r="AL353" s="30" t="str">
        <f t="shared" si="1268"/>
        <v>3Q</v>
      </c>
      <c r="AM353" s="30" t="str">
        <f t="shared" si="1268"/>
        <v>4Q</v>
      </c>
      <c r="AN353" s="46">
        <f t="shared" si="1268"/>
        <v>2023</v>
      </c>
      <c r="AO353" s="30" t="str">
        <f t="shared" si="1268"/>
        <v>1Q</v>
      </c>
      <c r="AP353" s="30" t="str">
        <f t="shared" si="1268"/>
        <v>2Q</v>
      </c>
      <c r="AQ353" s="30" t="str">
        <f t="shared" si="1268"/>
        <v>3Q</v>
      </c>
      <c r="AR353" s="102" t="str">
        <f t="shared" si="1268"/>
        <v>4Q</v>
      </c>
      <c r="AS353" s="46">
        <f t="shared" si="1268"/>
        <v>2024</v>
      </c>
      <c r="AT353" s="102" t="str">
        <f t="shared" si="1268"/>
        <v>1Q</v>
      </c>
      <c r="AU353" s="102" t="str">
        <f t="shared" si="1268"/>
        <v>2Q</v>
      </c>
      <c r="AV353" s="102" t="str">
        <f t="shared" si="1268"/>
        <v>3Q</v>
      </c>
      <c r="AW353" s="102" t="str">
        <f t="shared" si="1268"/>
        <v>4Q</v>
      </c>
      <c r="AX353" s="46">
        <f t="shared" si="1268"/>
        <v>2025</v>
      </c>
      <c r="AY353" s="102" t="str">
        <f t="shared" si="1268"/>
        <v>1Q</v>
      </c>
      <c r="AZ353" s="102" t="str">
        <f t="shared" si="1268"/>
        <v>2Q</v>
      </c>
      <c r="BA353" s="102" t="str">
        <f t="shared" si="1268"/>
        <v>3Q</v>
      </c>
      <c r="BB353" s="102" t="str">
        <f t="shared" si="1268"/>
        <v>4Q</v>
      </c>
      <c r="BC353" s="103">
        <f t="shared" si="1268"/>
        <v>2026</v>
      </c>
      <c r="BD353" s="102" t="str">
        <f t="shared" si="1268"/>
        <v>1Q</v>
      </c>
      <c r="BE353" s="102" t="str">
        <f t="shared" si="1268"/>
        <v>2Q</v>
      </c>
      <c r="BF353" s="102" t="str">
        <f t="shared" si="1268"/>
        <v>3Q</v>
      </c>
      <c r="BG353" s="102" t="str">
        <f t="shared" si="1268"/>
        <v>4Q</v>
      </c>
      <c r="BH353" s="103">
        <f t="shared" si="1268"/>
        <v>2027</v>
      </c>
      <c r="BI353" s="103">
        <f t="shared" si="1268"/>
        <v>2028</v>
      </c>
      <c r="BJ353" s="103">
        <f t="shared" si="1268"/>
        <v>2029</v>
      </c>
      <c r="BK353" s="103">
        <f t="shared" si="1268"/>
        <v>2030</v>
      </c>
      <c r="BL353" s="103">
        <f t="shared" si="1268"/>
        <v>2031</v>
      </c>
    </row>
    <row r="354" spans="1:64" s="38" customFormat="1" ht="12.75" customHeight="1">
      <c r="A354" s="41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Y354" s="50"/>
      <c r="AD354" s="50"/>
      <c r="AI354" s="50"/>
      <c r="AN354" s="50"/>
      <c r="AS354" s="50"/>
      <c r="AX354" s="50"/>
      <c r="BC354" s="50"/>
      <c r="BH354" s="50"/>
      <c r="BI354" s="50"/>
      <c r="BJ354" s="50"/>
      <c r="BK354" s="50"/>
      <c r="BL354" s="50"/>
    </row>
    <row r="355" spans="1:64" s="38" customFormat="1" ht="12.75" customHeight="1">
      <c r="C355" s="84" t="s">
        <v>63</v>
      </c>
      <c r="E355" s="48">
        <v>327</v>
      </c>
      <c r="F355" s="48">
        <v>327</v>
      </c>
      <c r="G355" s="48">
        <v>327</v>
      </c>
      <c r="H355" s="48">
        <v>327</v>
      </c>
      <c r="I355" s="48">
        <v>327</v>
      </c>
      <c r="J355" s="48">
        <v>327</v>
      </c>
      <c r="K355" s="48">
        <v>327</v>
      </c>
      <c r="L355" s="48">
        <v>327</v>
      </c>
      <c r="M355" s="48">
        <v>327</v>
      </c>
      <c r="N355" s="48">
        <v>327</v>
      </c>
      <c r="O355" s="48">
        <v>327</v>
      </c>
      <c r="P355" s="48">
        <v>327</v>
      </c>
      <c r="Q355" s="48">
        <v>327</v>
      </c>
      <c r="R355" s="48">
        <v>327</v>
      </c>
      <c r="S355" s="48">
        <v>-227</v>
      </c>
      <c r="T355" s="48">
        <v>-50</v>
      </c>
      <c r="U355" s="39">
        <v>-357</v>
      </c>
      <c r="V355" s="39">
        <v>-852</v>
      </c>
      <c r="W355" s="39">
        <v>-223</v>
      </c>
      <c r="X355" s="38">
        <f t="shared" ref="X355:X380" si="1269">Y355-SUM(U355:W355)</f>
        <v>-291</v>
      </c>
      <c r="Y355" s="48">
        <v>-1723</v>
      </c>
      <c r="Z355" s="39">
        <v>189</v>
      </c>
      <c r="AA355" s="39">
        <v>-170</v>
      </c>
      <c r="AB355" s="39">
        <v>608</v>
      </c>
      <c r="AC355" s="38">
        <f t="shared" ref="AC355:AC380" si="1270">AD355-SUM(Z355:AB355)</f>
        <v>-262</v>
      </c>
      <c r="AD355" s="48">
        <v>365</v>
      </c>
      <c r="AE355" s="39">
        <v>426</v>
      </c>
      <c r="AF355" s="39">
        <v>940</v>
      </c>
      <c r="AG355" s="39">
        <v>577</v>
      </c>
      <c r="AH355" s="38">
        <f t="shared" ref="AH355:AH380" si="1271">AI355-SUM(AE355:AG355)</f>
        <v>116</v>
      </c>
      <c r="AI355" s="48">
        <v>2059</v>
      </c>
      <c r="AJ355" s="39">
        <v>196</v>
      </c>
      <c r="AK355" s="39">
        <v>139</v>
      </c>
      <c r="AL355" s="39">
        <v>629</v>
      </c>
      <c r="AM355" s="38">
        <f t="shared" ref="AM355:AM380" si="1272">AN355-SUM(AJ355:AL355)</f>
        <v>-348</v>
      </c>
      <c r="AN355" s="48">
        <v>616</v>
      </c>
      <c r="AO355" s="39">
        <v>-186</v>
      </c>
      <c r="AP355" s="39">
        <v>-865</v>
      </c>
      <c r="AQ355" s="39">
        <v>-1332</v>
      </c>
      <c r="AR355" s="38">
        <f t="shared" ref="AR355:AR380" si="1273">AS355-SUM(AO355:AQ355)</f>
        <v>-479</v>
      </c>
      <c r="AS355" s="48">
        <v>-2862</v>
      </c>
      <c r="AT355" s="39">
        <v>-443</v>
      </c>
      <c r="AU355" s="39">
        <v>-294</v>
      </c>
      <c r="AV355" s="39">
        <v>184</v>
      </c>
      <c r="AW355" s="38">
        <f t="shared" ref="AW355:AW380" si="1274">AX355-SUM(AT355:AV355)</f>
        <v>-194</v>
      </c>
      <c r="AX355" s="48">
        <v>-747</v>
      </c>
      <c r="AY355" s="38">
        <f ca="1">AY266+AY264</f>
        <v>-305.79434643052093</v>
      </c>
      <c r="AZ355" s="38">
        <f ca="1">AZ266+AZ264</f>
        <v>-49.547222796412115</v>
      </c>
      <c r="BA355" s="38">
        <f ca="1">BA266+BA264</f>
        <v>129.53513216090164</v>
      </c>
      <c r="BB355" s="38">
        <f ca="1">BB266+BB264</f>
        <v>-216.5887536599401</v>
      </c>
      <c r="BC355" s="50">
        <f t="shared" ref="BC355" ca="1" si="1275">SUM(AY355:BB355)</f>
        <v>-442.39519072597153</v>
      </c>
      <c r="BD355" s="38">
        <f ca="1">BD266+BD264</f>
        <v>-255.49185439726298</v>
      </c>
      <c r="BE355" s="38">
        <f ca="1">BE266+BE264</f>
        <v>6.568218336709748</v>
      </c>
      <c r="BF355" s="38">
        <f ca="1">BF266+BF264</f>
        <v>190.46131193822401</v>
      </c>
      <c r="BG355" s="38">
        <f ca="1">BG266+BG264</f>
        <v>-160.80247887353218</v>
      </c>
      <c r="BH355" s="50">
        <f t="shared" ref="BH355" ca="1" si="1276">SUM(BD355:BG355)</f>
        <v>-219.2648029958614</v>
      </c>
      <c r="BI355" s="50">
        <f ca="1">BI266+BI264</f>
        <v>92.675225505801393</v>
      </c>
      <c r="BJ355" s="50">
        <f ca="1">BJ266+BJ264</f>
        <v>418.89164752757597</v>
      </c>
      <c r="BK355" s="50">
        <f ca="1">BK266+BK264</f>
        <v>784.94251984322534</v>
      </c>
      <c r="BL355" s="50">
        <f ca="1">BL266+BL264</f>
        <v>1187.7018443122201</v>
      </c>
    </row>
    <row r="356" spans="1:64" s="38" customFormat="1" ht="12.75" customHeight="1">
      <c r="A356" s="41"/>
      <c r="B356" s="41"/>
      <c r="C356" s="84" t="s">
        <v>198</v>
      </c>
      <c r="E356" s="48">
        <v>2722</v>
      </c>
      <c r="F356" s="48">
        <v>2722</v>
      </c>
      <c r="G356" s="48">
        <v>2722</v>
      </c>
      <c r="H356" s="48">
        <v>2722</v>
      </c>
      <c r="I356" s="48">
        <v>2722</v>
      </c>
      <c r="J356" s="48">
        <v>2722</v>
      </c>
      <c r="K356" s="48">
        <v>2722</v>
      </c>
      <c r="L356" s="48">
        <v>2722</v>
      </c>
      <c r="M356" s="48">
        <v>2722</v>
      </c>
      <c r="N356" s="48">
        <v>2722</v>
      </c>
      <c r="O356" s="48">
        <v>2722</v>
      </c>
      <c r="P356" s="48">
        <v>2722</v>
      </c>
      <c r="Q356" s="48">
        <v>2722</v>
      </c>
      <c r="R356" s="48">
        <v>2722</v>
      </c>
      <c r="S356" s="48">
        <v>2546</v>
      </c>
      <c r="T356" s="48">
        <v>2791</v>
      </c>
      <c r="U356" s="39">
        <v>733</v>
      </c>
      <c r="V356" s="39">
        <v>660</v>
      </c>
      <c r="W356" s="39">
        <v>416</v>
      </c>
      <c r="X356" s="38">
        <f t="shared" si="1269"/>
        <v>450</v>
      </c>
      <c r="Y356" s="48">
        <v>2259</v>
      </c>
      <c r="Z356" s="39">
        <v>275</v>
      </c>
      <c r="AA356" s="39">
        <v>145</v>
      </c>
      <c r="AB356" s="39">
        <v>86</v>
      </c>
      <c r="AC356" s="38">
        <f t="shared" si="1270"/>
        <v>94</v>
      </c>
      <c r="AD356" s="48">
        <v>600</v>
      </c>
      <c r="AE356" s="39">
        <v>-20</v>
      </c>
      <c r="AF356" s="39">
        <v>165</v>
      </c>
      <c r="AG356" s="39">
        <v>366</v>
      </c>
      <c r="AH356" s="38">
        <f t="shared" si="1271"/>
        <v>298</v>
      </c>
      <c r="AI356" s="48">
        <v>809</v>
      </c>
      <c r="AJ356" s="39">
        <v>466</v>
      </c>
      <c r="AK356" s="39">
        <v>418</v>
      </c>
      <c r="AL356" s="39">
        <v>606</v>
      </c>
      <c r="AM356" s="38">
        <f t="shared" si="1272"/>
        <v>932</v>
      </c>
      <c r="AN356" s="48">
        <v>2422</v>
      </c>
      <c r="AO356" s="39">
        <v>1070</v>
      </c>
      <c r="AP356" s="39">
        <v>1124</v>
      </c>
      <c r="AQ356" s="39">
        <v>1025</v>
      </c>
      <c r="AR356" s="38">
        <f t="shared" si="1273"/>
        <v>764</v>
      </c>
      <c r="AS356" s="48">
        <v>3983</v>
      </c>
      <c r="AT356" s="39">
        <v>624</v>
      </c>
      <c r="AU356" s="39">
        <v>458</v>
      </c>
      <c r="AV356" s="39">
        <v>503</v>
      </c>
      <c r="AW356" s="38">
        <f t="shared" si="1274"/>
        <v>563</v>
      </c>
      <c r="AX356" s="48">
        <v>2148</v>
      </c>
      <c r="AY356" s="38">
        <f>AY237</f>
        <v>447.02600000000001</v>
      </c>
      <c r="AZ356" s="38">
        <f t="shared" ref="AZ356:BB356" si="1277">AZ237</f>
        <v>412.08000000000004</v>
      </c>
      <c r="BA356" s="38">
        <f t="shared" si="1277"/>
        <v>455.93999999999994</v>
      </c>
      <c r="BB356" s="38">
        <f t="shared" si="1277"/>
        <v>456.14399999999989</v>
      </c>
      <c r="BC356" s="50">
        <f t="shared" ref="BC356:BC359" si="1278">SUM(AY356:BB356)</f>
        <v>1771.1899999999996</v>
      </c>
      <c r="BD356" s="38">
        <f t="shared" ref="BD356:BG356" si="1279">BD237</f>
        <v>455.96651999999995</v>
      </c>
      <c r="BE356" s="38">
        <f t="shared" si="1279"/>
        <v>420.32160000000005</v>
      </c>
      <c r="BF356" s="38">
        <f t="shared" si="1279"/>
        <v>465.05879999999996</v>
      </c>
      <c r="BG356" s="38">
        <f t="shared" si="1279"/>
        <v>465.2668799999999</v>
      </c>
      <c r="BH356" s="50">
        <f t="shared" ref="BH356:BH380" si="1280">SUM(BD356:BG356)</f>
        <v>1806.6137999999999</v>
      </c>
      <c r="BI356" s="50">
        <f t="shared" ref="BI356:BL356" si="1281">BI237</f>
        <v>1842.7460759999999</v>
      </c>
      <c r="BJ356" s="50">
        <f t="shared" si="1281"/>
        <v>1879.6009975200004</v>
      </c>
      <c r="BK356" s="50">
        <f t="shared" si="1281"/>
        <v>1917.1930174704</v>
      </c>
      <c r="BL356" s="50">
        <f t="shared" si="1281"/>
        <v>1955.5368778198081</v>
      </c>
    </row>
    <row r="357" spans="1:64" s="38" customFormat="1" ht="12.75" customHeight="1">
      <c r="A357" s="41"/>
      <c r="B357" s="41"/>
      <c r="C357" s="38" t="s">
        <v>199</v>
      </c>
      <c r="E357" s="48">
        <v>240</v>
      </c>
      <c r="F357" s="48">
        <v>240</v>
      </c>
      <c r="G357" s="48">
        <v>240</v>
      </c>
      <c r="H357" s="48">
        <v>240</v>
      </c>
      <c r="I357" s="48">
        <v>240</v>
      </c>
      <c r="J357" s="48">
        <v>240</v>
      </c>
      <c r="K357" s="48">
        <v>240</v>
      </c>
      <c r="L357" s="48">
        <v>240</v>
      </c>
      <c r="M357" s="48">
        <v>240</v>
      </c>
      <c r="N357" s="48">
        <v>240</v>
      </c>
      <c r="O357" s="48">
        <v>240</v>
      </c>
      <c r="P357" s="48">
        <v>240</v>
      </c>
      <c r="Q357" s="48">
        <v>240</v>
      </c>
      <c r="R357" s="48">
        <v>240</v>
      </c>
      <c r="S357" s="48">
        <v>218</v>
      </c>
      <c r="T357" s="48">
        <v>203</v>
      </c>
      <c r="U357" s="39">
        <v>53</v>
      </c>
      <c r="V357" s="39">
        <v>57</v>
      </c>
      <c r="W357" s="39">
        <v>58</v>
      </c>
      <c r="X357" s="38">
        <f t="shared" si="1269"/>
        <v>57</v>
      </c>
      <c r="Y357" s="48">
        <v>225</v>
      </c>
      <c r="Z357" s="39">
        <v>54</v>
      </c>
      <c r="AA357" s="39">
        <v>50</v>
      </c>
      <c r="AB357" s="39">
        <v>49</v>
      </c>
      <c r="AC357" s="38">
        <f t="shared" si="1270"/>
        <v>43</v>
      </c>
      <c r="AD357" s="48">
        <v>196</v>
      </c>
      <c r="AE357" s="39">
        <v>33</v>
      </c>
      <c r="AF357" s="39">
        <v>36</v>
      </c>
      <c r="AG357" s="39">
        <v>36</v>
      </c>
      <c r="AH357" s="38">
        <f t="shared" si="1271"/>
        <v>37</v>
      </c>
      <c r="AI357" s="48">
        <v>142</v>
      </c>
      <c r="AJ357" s="39">
        <v>35</v>
      </c>
      <c r="AK357" s="39">
        <v>32</v>
      </c>
      <c r="AL357" s="39">
        <v>33</v>
      </c>
      <c r="AM357" s="38">
        <f t="shared" si="1272"/>
        <v>49</v>
      </c>
      <c r="AN357" s="48">
        <v>149</v>
      </c>
      <c r="AO357" s="39">
        <v>32</v>
      </c>
      <c r="AP357" s="39">
        <v>41</v>
      </c>
      <c r="AQ357" s="39">
        <v>34</v>
      </c>
      <c r="AR357" s="38">
        <f t="shared" si="1273"/>
        <v>32</v>
      </c>
      <c r="AS357" s="48">
        <v>139</v>
      </c>
      <c r="AT357" s="39">
        <v>30</v>
      </c>
      <c r="AU357" s="39">
        <v>29</v>
      </c>
      <c r="AV357" s="39">
        <v>29</v>
      </c>
      <c r="AW357" s="38">
        <f t="shared" si="1274"/>
        <v>29</v>
      </c>
      <c r="AX357" s="48">
        <v>117</v>
      </c>
      <c r="AY357" s="38">
        <f>AY243</f>
        <v>30</v>
      </c>
      <c r="AZ357" s="38">
        <f>AZ243</f>
        <v>29</v>
      </c>
      <c r="BA357" s="38">
        <f>BA243</f>
        <v>29</v>
      </c>
      <c r="BB357" s="38">
        <f>BB243</f>
        <v>29</v>
      </c>
      <c r="BC357" s="50">
        <f t="shared" si="1278"/>
        <v>117</v>
      </c>
      <c r="BD357" s="38">
        <f>BD243</f>
        <v>30</v>
      </c>
      <c r="BE357" s="38">
        <f>BE243</f>
        <v>29</v>
      </c>
      <c r="BF357" s="38">
        <f>BF243</f>
        <v>29</v>
      </c>
      <c r="BG357" s="38">
        <f>BG243</f>
        <v>29</v>
      </c>
      <c r="BH357" s="50">
        <f t="shared" si="1280"/>
        <v>117</v>
      </c>
      <c r="BI357" s="50">
        <f>BI243</f>
        <v>117</v>
      </c>
      <c r="BJ357" s="50">
        <f>BJ243</f>
        <v>117</v>
      </c>
      <c r="BK357" s="50">
        <f>BK243</f>
        <v>117</v>
      </c>
      <c r="BL357" s="50">
        <f>BL243</f>
        <v>117</v>
      </c>
    </row>
    <row r="358" spans="1:64" s="38" customFormat="1" ht="12.75" customHeight="1">
      <c r="A358" s="41"/>
      <c r="B358" s="41"/>
      <c r="C358" s="38" t="s">
        <v>200</v>
      </c>
      <c r="E358" s="48">
        <v>46</v>
      </c>
      <c r="F358" s="48">
        <v>46</v>
      </c>
      <c r="G358" s="48">
        <v>46</v>
      </c>
      <c r="H358" s="48">
        <v>46</v>
      </c>
      <c r="I358" s="48">
        <v>46</v>
      </c>
      <c r="J358" s="48">
        <v>46</v>
      </c>
      <c r="K358" s="48">
        <v>46</v>
      </c>
      <c r="L358" s="48">
        <v>46</v>
      </c>
      <c r="M358" s="48">
        <v>46</v>
      </c>
      <c r="N358" s="48">
        <v>46</v>
      </c>
      <c r="O358" s="48">
        <v>46</v>
      </c>
      <c r="P358" s="48">
        <v>46</v>
      </c>
      <c r="Q358" s="48">
        <v>46</v>
      </c>
      <c r="R358" s="48">
        <v>46</v>
      </c>
      <c r="S358" s="48">
        <v>50</v>
      </c>
      <c r="T358" s="48">
        <v>52</v>
      </c>
      <c r="U358" s="39">
        <v>12</v>
      </c>
      <c r="V358" s="39">
        <v>14</v>
      </c>
      <c r="W358" s="39">
        <v>11</v>
      </c>
      <c r="X358" s="38">
        <f t="shared" si="1269"/>
        <v>22</v>
      </c>
      <c r="Y358" s="48">
        <v>59</v>
      </c>
      <c r="Z358" s="39">
        <v>34</v>
      </c>
      <c r="AA358" s="39">
        <v>64</v>
      </c>
      <c r="AB358" s="39">
        <v>11</v>
      </c>
      <c r="AC358" s="38">
        <f t="shared" si="1270"/>
        <v>13</v>
      </c>
      <c r="AD358" s="48">
        <v>122</v>
      </c>
      <c r="AE358" s="39">
        <v>11</v>
      </c>
      <c r="AF358" s="39">
        <v>14</v>
      </c>
      <c r="AG358" s="39">
        <v>13</v>
      </c>
      <c r="AH358" s="38">
        <f t="shared" si="1271"/>
        <v>15</v>
      </c>
      <c r="AI358" s="48">
        <v>53</v>
      </c>
      <c r="AJ358" s="39">
        <v>14</v>
      </c>
      <c r="AK358" s="39">
        <v>15</v>
      </c>
      <c r="AL358" s="39">
        <v>15</v>
      </c>
      <c r="AM358" s="38">
        <f t="shared" si="1272"/>
        <v>17</v>
      </c>
      <c r="AN358" s="48">
        <v>61</v>
      </c>
      <c r="AO358" s="39">
        <v>18</v>
      </c>
      <c r="AP358" s="39">
        <v>15</v>
      </c>
      <c r="AQ358" s="39">
        <v>21</v>
      </c>
      <c r="AR358" s="38">
        <f t="shared" si="1273"/>
        <v>20</v>
      </c>
      <c r="AS358" s="48">
        <v>74</v>
      </c>
      <c r="AT358" s="39">
        <v>20</v>
      </c>
      <c r="AU358" s="39">
        <v>20</v>
      </c>
      <c r="AV358" s="39">
        <v>21</v>
      </c>
      <c r="AW358" s="38">
        <f t="shared" si="1274"/>
        <v>25</v>
      </c>
      <c r="AX358" s="48">
        <v>86</v>
      </c>
      <c r="AY358" s="67">
        <v>0</v>
      </c>
      <c r="AZ358" s="67">
        <v>0</v>
      </c>
      <c r="BA358" s="67">
        <v>0</v>
      </c>
      <c r="BB358" s="67">
        <v>0</v>
      </c>
      <c r="BC358" s="50">
        <f t="shared" si="1278"/>
        <v>0</v>
      </c>
      <c r="BD358" s="67">
        <v>0</v>
      </c>
      <c r="BE358" s="67">
        <v>0</v>
      </c>
      <c r="BF358" s="67">
        <v>0</v>
      </c>
      <c r="BG358" s="67">
        <v>0</v>
      </c>
      <c r="BH358" s="50">
        <f t="shared" si="1280"/>
        <v>0</v>
      </c>
      <c r="BI358" s="68">
        <v>0</v>
      </c>
      <c r="BJ358" s="68">
        <v>0</v>
      </c>
      <c r="BK358" s="68">
        <v>0</v>
      </c>
      <c r="BL358" s="68">
        <v>0</v>
      </c>
    </row>
    <row r="359" spans="1:64" s="38" customFormat="1" ht="12.75" customHeight="1">
      <c r="A359" s="41"/>
      <c r="B359" s="41"/>
      <c r="C359" s="38" t="s">
        <v>201</v>
      </c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39"/>
      <c r="V359" s="39">
        <v>0</v>
      </c>
      <c r="W359" s="39">
        <v>0</v>
      </c>
      <c r="X359" s="38">
        <f t="shared" si="1269"/>
        <v>0</v>
      </c>
      <c r="Y359" s="48"/>
      <c r="Z359" s="39"/>
      <c r="AA359" s="39">
        <v>0</v>
      </c>
      <c r="AB359" s="39">
        <v>0</v>
      </c>
      <c r="AC359" s="38">
        <f t="shared" si="1270"/>
        <v>0</v>
      </c>
      <c r="AD359" s="48"/>
      <c r="AE359" s="39"/>
      <c r="AF359" s="39">
        <v>0</v>
      </c>
      <c r="AG359" s="39">
        <v>0</v>
      </c>
      <c r="AH359" s="38">
        <f t="shared" si="1271"/>
        <v>0</v>
      </c>
      <c r="AI359" s="48"/>
      <c r="AJ359" s="39">
        <v>0</v>
      </c>
      <c r="AK359" s="39">
        <v>0</v>
      </c>
      <c r="AL359" s="39">
        <v>0</v>
      </c>
      <c r="AM359" s="38">
        <f t="shared" si="1272"/>
        <v>0</v>
      </c>
      <c r="AN359" s="48">
        <v>0</v>
      </c>
      <c r="AO359" s="39">
        <v>0</v>
      </c>
      <c r="AP359" s="39">
        <v>0</v>
      </c>
      <c r="AQ359" s="39">
        <v>0</v>
      </c>
      <c r="AR359" s="38">
        <f t="shared" si="1273"/>
        <v>0</v>
      </c>
      <c r="AS359" s="48">
        <v>0</v>
      </c>
      <c r="AT359" s="39">
        <v>11</v>
      </c>
      <c r="AU359" s="39">
        <v>0</v>
      </c>
      <c r="AV359" s="39">
        <v>10</v>
      </c>
      <c r="AW359" s="38">
        <f t="shared" si="1274"/>
        <v>0</v>
      </c>
      <c r="AX359" s="48">
        <v>21</v>
      </c>
      <c r="AY359" s="67">
        <f>AX296*0.04</f>
        <v>10.84</v>
      </c>
      <c r="AZ359" s="67">
        <v>0</v>
      </c>
      <c r="BA359" s="67">
        <f>AZ296*0.04</f>
        <v>11.2736</v>
      </c>
      <c r="BB359" s="67">
        <v>0</v>
      </c>
      <c r="BC359" s="50">
        <f t="shared" si="1278"/>
        <v>22.113599999999998</v>
      </c>
      <c r="BD359" s="67">
        <f>BC296*0.04</f>
        <v>11.724543999999998</v>
      </c>
      <c r="BE359" s="67">
        <v>0</v>
      </c>
      <c r="BF359" s="67">
        <f>BE296*0.04</f>
        <v>12.193525759999998</v>
      </c>
      <c r="BG359" s="67">
        <v>0</v>
      </c>
      <c r="BH359" s="50">
        <f t="shared" si="1280"/>
        <v>23.918069759999995</v>
      </c>
      <c r="BI359" s="68">
        <f>BH296*0.08</f>
        <v>25.362533580799997</v>
      </c>
      <c r="BJ359" s="68">
        <f t="shared" ref="BJ359:BL359" si="1282">BI296*0.08</f>
        <v>27.391536267263998</v>
      </c>
      <c r="BK359" s="68">
        <f t="shared" si="1282"/>
        <v>29.582859168645115</v>
      </c>
      <c r="BL359" s="68">
        <f t="shared" si="1282"/>
        <v>31.949487902136728</v>
      </c>
    </row>
    <row r="360" spans="1:64" s="38" customFormat="1" ht="12.75" customHeight="1">
      <c r="A360" s="41"/>
      <c r="B360" s="41"/>
      <c r="C360" s="38" t="s">
        <v>226</v>
      </c>
      <c r="E360" s="48">
        <v>13</v>
      </c>
      <c r="F360" s="48">
        <v>13</v>
      </c>
      <c r="G360" s="48">
        <v>13</v>
      </c>
      <c r="H360" s="48">
        <v>13</v>
      </c>
      <c r="I360" s="48">
        <v>13</v>
      </c>
      <c r="J360" s="48">
        <v>13</v>
      </c>
      <c r="K360" s="48">
        <v>13</v>
      </c>
      <c r="L360" s="48">
        <v>13</v>
      </c>
      <c r="M360" s="48">
        <v>13</v>
      </c>
      <c r="N360" s="48">
        <v>13</v>
      </c>
      <c r="O360" s="48">
        <v>13</v>
      </c>
      <c r="P360" s="48">
        <v>13</v>
      </c>
      <c r="Q360" s="48">
        <v>13</v>
      </c>
      <c r="R360" s="48">
        <v>13</v>
      </c>
      <c r="S360" s="48">
        <v>22</v>
      </c>
      <c r="T360" s="48">
        <v>43</v>
      </c>
      <c r="U360" s="39">
        <v>0</v>
      </c>
      <c r="V360" s="39">
        <v>3</v>
      </c>
      <c r="W360" s="39">
        <v>2</v>
      </c>
      <c r="X360" s="38">
        <f t="shared" si="1269"/>
        <v>0</v>
      </c>
      <c r="Y360" s="48">
        <v>5</v>
      </c>
      <c r="Z360" s="39"/>
      <c r="AA360" s="39">
        <v>8</v>
      </c>
      <c r="AB360" s="39">
        <v>0</v>
      </c>
      <c r="AC360" s="38">
        <f t="shared" si="1270"/>
        <v>0</v>
      </c>
      <c r="AD360" s="48">
        <v>8</v>
      </c>
      <c r="AE360" s="39"/>
      <c r="AF360" s="39">
        <v>0</v>
      </c>
      <c r="AG360" s="39">
        <v>0</v>
      </c>
      <c r="AH360" s="38">
        <f t="shared" si="1271"/>
        <v>0</v>
      </c>
      <c r="AI360" s="48">
        <v>0</v>
      </c>
      <c r="AJ360" s="39"/>
      <c r="AK360" s="39"/>
      <c r="AL360" s="39"/>
      <c r="AM360" s="38">
        <f t="shared" si="1272"/>
        <v>0</v>
      </c>
      <c r="AN360" s="48"/>
      <c r="AO360" s="39"/>
      <c r="AP360" s="39"/>
      <c r="AQ360" s="39"/>
      <c r="AS360" s="48"/>
      <c r="AT360" s="39"/>
      <c r="AU360" s="39"/>
      <c r="AV360" s="39"/>
      <c r="AX360" s="48"/>
      <c r="AY360" s="67">
        <v>0</v>
      </c>
      <c r="AZ360" s="67">
        <v>0</v>
      </c>
      <c r="BA360" s="67">
        <v>0</v>
      </c>
      <c r="BB360" s="67">
        <v>0</v>
      </c>
      <c r="BC360" s="77">
        <f t="shared" ref="BC360:BC380" si="1283">SUM(AY360:BB360)</f>
        <v>0</v>
      </c>
      <c r="BD360" s="67">
        <v>0</v>
      </c>
      <c r="BE360" s="67">
        <v>0</v>
      </c>
      <c r="BF360" s="67">
        <v>0</v>
      </c>
      <c r="BG360" s="67">
        <v>0</v>
      </c>
      <c r="BH360" s="77">
        <f t="shared" si="1280"/>
        <v>0</v>
      </c>
      <c r="BI360" s="68">
        <v>0</v>
      </c>
      <c r="BJ360" s="68">
        <v>0</v>
      </c>
      <c r="BK360" s="68">
        <v>0</v>
      </c>
      <c r="BL360" s="68">
        <v>0</v>
      </c>
    </row>
    <row r="361" spans="1:64" s="38" customFormat="1" ht="12.75" customHeight="1">
      <c r="A361" s="41"/>
      <c r="B361" s="41"/>
      <c r="C361" s="38" t="s">
        <v>202</v>
      </c>
      <c r="E361" s="48">
        <v>19</v>
      </c>
      <c r="F361" s="48">
        <v>19</v>
      </c>
      <c r="G361" s="48">
        <v>19</v>
      </c>
      <c r="H361" s="48">
        <v>19</v>
      </c>
      <c r="I361" s="48">
        <v>19</v>
      </c>
      <c r="J361" s="48">
        <v>19</v>
      </c>
      <c r="K361" s="48">
        <v>19</v>
      </c>
      <c r="L361" s="48">
        <v>19</v>
      </c>
      <c r="M361" s="48">
        <v>19</v>
      </c>
      <c r="N361" s="48">
        <v>19</v>
      </c>
      <c r="O361" s="48">
        <v>19</v>
      </c>
      <c r="P361" s="48">
        <v>19</v>
      </c>
      <c r="Q361" s="48">
        <v>19</v>
      </c>
      <c r="R361" s="48">
        <v>19</v>
      </c>
      <c r="S361" s="48">
        <v>14</v>
      </c>
      <c r="T361" s="48">
        <v>18</v>
      </c>
      <c r="U361" s="39">
        <v>0</v>
      </c>
      <c r="V361" s="39">
        <v>0</v>
      </c>
      <c r="W361" s="39">
        <v>0</v>
      </c>
      <c r="X361" s="38">
        <f t="shared" si="1269"/>
        <v>-2</v>
      </c>
      <c r="Y361" s="48">
        <v>-2</v>
      </c>
      <c r="Z361" s="39">
        <v>2</v>
      </c>
      <c r="AA361" s="39">
        <v>0</v>
      </c>
      <c r="AB361" s="39">
        <v>0</v>
      </c>
      <c r="AC361" s="38">
        <f t="shared" si="1270"/>
        <v>8</v>
      </c>
      <c r="AD361" s="48">
        <v>10</v>
      </c>
      <c r="AE361" s="39">
        <v>28</v>
      </c>
      <c r="AF361" s="39">
        <v>36</v>
      </c>
      <c r="AG361" s="39">
        <v>32</v>
      </c>
      <c r="AH361" s="38">
        <f t="shared" si="1271"/>
        <v>34</v>
      </c>
      <c r="AI361" s="48">
        <v>130</v>
      </c>
      <c r="AJ361" s="39">
        <v>21</v>
      </c>
      <c r="AK361" s="39">
        <v>22</v>
      </c>
      <c r="AL361" s="39">
        <v>22</v>
      </c>
      <c r="AM361" s="38">
        <f t="shared" si="1272"/>
        <v>22</v>
      </c>
      <c r="AN361" s="48">
        <v>87</v>
      </c>
      <c r="AO361" s="39">
        <v>16</v>
      </c>
      <c r="AP361" s="39">
        <v>16</v>
      </c>
      <c r="AQ361" s="39">
        <v>16</v>
      </c>
      <c r="AR361" s="38">
        <f t="shared" si="1273"/>
        <v>15</v>
      </c>
      <c r="AS361" s="48">
        <v>63</v>
      </c>
      <c r="AT361" s="39">
        <v>16</v>
      </c>
      <c r="AU361" s="39">
        <v>16</v>
      </c>
      <c r="AV361" s="39">
        <v>14</v>
      </c>
      <c r="AW361" s="38">
        <f t="shared" si="1274"/>
        <v>17</v>
      </c>
      <c r="AX361" s="48">
        <v>63</v>
      </c>
      <c r="AY361" s="67">
        <v>15</v>
      </c>
      <c r="AZ361" s="67">
        <v>15</v>
      </c>
      <c r="BA361" s="67">
        <v>15</v>
      </c>
      <c r="BB361" s="67">
        <v>15</v>
      </c>
      <c r="BC361" s="77">
        <f t="shared" si="1283"/>
        <v>60</v>
      </c>
      <c r="BD361" s="67">
        <v>15</v>
      </c>
      <c r="BE361" s="67">
        <v>15</v>
      </c>
      <c r="BF361" s="67">
        <v>15</v>
      </c>
      <c r="BG361" s="67">
        <v>15</v>
      </c>
      <c r="BH361" s="77">
        <f t="shared" si="1280"/>
        <v>60</v>
      </c>
      <c r="BI361" s="68">
        <f>BH361</f>
        <v>60</v>
      </c>
      <c r="BJ361" s="68">
        <f t="shared" ref="BJ361:BL361" si="1284">BI361</f>
        <v>60</v>
      </c>
      <c r="BK361" s="68">
        <f t="shared" si="1284"/>
        <v>60</v>
      </c>
      <c r="BL361" s="68">
        <f t="shared" si="1284"/>
        <v>60</v>
      </c>
    </row>
    <row r="362" spans="1:64" s="38" customFormat="1" ht="12.75" customHeight="1">
      <c r="A362" s="41"/>
      <c r="B362" s="41"/>
      <c r="C362" s="38" t="s">
        <v>203</v>
      </c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39"/>
      <c r="V362" s="39">
        <v>0</v>
      </c>
      <c r="W362" s="39">
        <v>0</v>
      </c>
      <c r="X362" s="38">
        <f t="shared" si="1269"/>
        <v>0</v>
      </c>
      <c r="Y362" s="48"/>
      <c r="Z362" s="39"/>
      <c r="AA362" s="39">
        <v>0</v>
      </c>
      <c r="AB362" s="39">
        <v>0</v>
      </c>
      <c r="AC362" s="38">
        <f t="shared" si="1270"/>
        <v>0</v>
      </c>
      <c r="AD362" s="48"/>
      <c r="AE362" s="39"/>
      <c r="AF362" s="39">
        <v>0</v>
      </c>
      <c r="AG362" s="39">
        <v>0</v>
      </c>
      <c r="AH362" s="38">
        <f t="shared" si="1271"/>
        <v>0</v>
      </c>
      <c r="AI362" s="48"/>
      <c r="AJ362" s="39">
        <v>0</v>
      </c>
      <c r="AK362" s="39">
        <v>0</v>
      </c>
      <c r="AL362" s="39">
        <v>0</v>
      </c>
      <c r="AM362" s="38">
        <f t="shared" si="1272"/>
        <v>0</v>
      </c>
      <c r="AN362" s="48">
        <v>0</v>
      </c>
      <c r="AO362" s="39">
        <v>-68</v>
      </c>
      <c r="AP362" s="39">
        <v>0</v>
      </c>
      <c r="AQ362" s="39">
        <v>0</v>
      </c>
      <c r="AR362" s="38">
        <f t="shared" si="1273"/>
        <v>0</v>
      </c>
      <c r="AS362" s="48">
        <v>-68</v>
      </c>
      <c r="AT362" s="39">
        <v>0</v>
      </c>
      <c r="AU362" s="39">
        <v>0</v>
      </c>
      <c r="AV362" s="39">
        <v>0</v>
      </c>
      <c r="AW362" s="38">
        <f t="shared" si="1274"/>
        <v>0</v>
      </c>
      <c r="AX362" s="48">
        <v>0</v>
      </c>
      <c r="AY362" s="67">
        <v>0</v>
      </c>
      <c r="AZ362" s="67">
        <v>0</v>
      </c>
      <c r="BA362" s="67">
        <v>0</v>
      </c>
      <c r="BB362" s="67">
        <v>0</v>
      </c>
      <c r="BC362" s="77">
        <f t="shared" si="1283"/>
        <v>0</v>
      </c>
      <c r="BD362" s="67">
        <v>0</v>
      </c>
      <c r="BE362" s="67">
        <v>0</v>
      </c>
      <c r="BF362" s="67">
        <v>0</v>
      </c>
      <c r="BG362" s="67">
        <v>0</v>
      </c>
      <c r="BH362" s="77">
        <f t="shared" si="1280"/>
        <v>0</v>
      </c>
      <c r="BI362" s="68">
        <v>0</v>
      </c>
      <c r="BJ362" s="68">
        <v>0</v>
      </c>
      <c r="BK362" s="68">
        <v>0</v>
      </c>
      <c r="BL362" s="68">
        <v>0</v>
      </c>
    </row>
    <row r="363" spans="1:64" s="38" customFormat="1" ht="12.75" customHeight="1">
      <c r="A363" s="41"/>
      <c r="B363" s="41"/>
      <c r="C363" s="38" t="s">
        <v>204</v>
      </c>
      <c r="E363" s="48">
        <v>33</v>
      </c>
      <c r="F363" s="48">
        <v>33</v>
      </c>
      <c r="G363" s="48">
        <v>33</v>
      </c>
      <c r="H363" s="48">
        <v>33</v>
      </c>
      <c r="I363" s="48">
        <v>33</v>
      </c>
      <c r="J363" s="48">
        <v>33</v>
      </c>
      <c r="K363" s="48">
        <v>33</v>
      </c>
      <c r="L363" s="48">
        <v>33</v>
      </c>
      <c r="M363" s="48">
        <v>33</v>
      </c>
      <c r="N363" s="48">
        <v>33</v>
      </c>
      <c r="O363" s="48">
        <v>33</v>
      </c>
      <c r="P363" s="48">
        <v>33</v>
      </c>
      <c r="Q363" s="48">
        <v>33</v>
      </c>
      <c r="R363" s="48">
        <v>33</v>
      </c>
      <c r="S363" s="48">
        <v>35</v>
      </c>
      <c r="T363" s="48">
        <v>53</v>
      </c>
      <c r="U363" s="39">
        <v>15</v>
      </c>
      <c r="V363" s="39">
        <v>17</v>
      </c>
      <c r="W363" s="39">
        <v>34</v>
      </c>
      <c r="X363" s="38">
        <f t="shared" si="1269"/>
        <v>28</v>
      </c>
      <c r="Y363" s="48">
        <v>94</v>
      </c>
      <c r="Z363" s="39">
        <v>29</v>
      </c>
      <c r="AA363" s="39">
        <v>35</v>
      </c>
      <c r="AB363" s="39">
        <v>31</v>
      </c>
      <c r="AC363" s="38">
        <f t="shared" si="1270"/>
        <v>30</v>
      </c>
      <c r="AD363" s="48">
        <v>125</v>
      </c>
      <c r="AE363" s="39">
        <v>13</v>
      </c>
      <c r="AF363" s="39">
        <v>10</v>
      </c>
      <c r="AG363" s="39">
        <v>19</v>
      </c>
      <c r="AH363" s="38">
        <f t="shared" si="1271"/>
        <v>15</v>
      </c>
      <c r="AI363" s="48">
        <v>57</v>
      </c>
      <c r="AJ363" s="39">
        <v>20</v>
      </c>
      <c r="AK363" s="39">
        <v>20</v>
      </c>
      <c r="AL363" s="39">
        <v>27</v>
      </c>
      <c r="AM363" s="38">
        <f t="shared" si="1272"/>
        <v>26</v>
      </c>
      <c r="AN363" s="48">
        <v>93</v>
      </c>
      <c r="AO363" s="39">
        <v>31</v>
      </c>
      <c r="AP363" s="39">
        <v>32</v>
      </c>
      <c r="AQ363" s="39">
        <v>31</v>
      </c>
      <c r="AR363" s="38">
        <f t="shared" si="1273"/>
        <v>26</v>
      </c>
      <c r="AS363" s="48">
        <v>120</v>
      </c>
      <c r="AT363" s="39">
        <v>25</v>
      </c>
      <c r="AU363" s="39">
        <v>28</v>
      </c>
      <c r="AV363" s="39">
        <v>33</v>
      </c>
      <c r="AW363" s="38">
        <f t="shared" si="1274"/>
        <v>41</v>
      </c>
      <c r="AX363" s="48">
        <v>127</v>
      </c>
      <c r="AY363" s="67">
        <f>AT363/AT202*AY202</f>
        <v>25.782806961941571</v>
      </c>
      <c r="AZ363" s="67">
        <f t="shared" ref="AZ363:BB363" si="1285">AU363/AU202*AZ202</f>
        <v>28.497100797514111</v>
      </c>
      <c r="BA363" s="67">
        <f t="shared" si="1285"/>
        <v>33.636919431779745</v>
      </c>
      <c r="BB363" s="67">
        <f t="shared" si="1285"/>
        <v>42.040369004640183</v>
      </c>
      <c r="BC363" s="77">
        <f t="shared" si="1283"/>
        <v>129.95719619587561</v>
      </c>
      <c r="BD363" s="67">
        <f>AY363/AY202*BD202</f>
        <v>26.298463101180403</v>
      </c>
      <c r="BE363" s="67">
        <f t="shared" ref="BE363" si="1286">AZ363/AZ202*BE202</f>
        <v>29.06704281346439</v>
      </c>
      <c r="BF363" s="67">
        <f t="shared" ref="BF363" si="1287">BA363/BA202*BF202</f>
        <v>34.309657820415346</v>
      </c>
      <c r="BG363" s="67">
        <f t="shared" ref="BG363" si="1288">BB363/BB202*BG202</f>
        <v>42.881176384732996</v>
      </c>
      <c r="BH363" s="77">
        <f t="shared" si="1280"/>
        <v>132.55634011979313</v>
      </c>
      <c r="BI363" s="68">
        <f>BH363/BH202*BI202</f>
        <v>135.54025787066419</v>
      </c>
      <c r="BJ363" s="68">
        <f t="shared" ref="BJ363:BL363" si="1289">BI363/BI202*BJ202</f>
        <v>137.87332788319199</v>
      </c>
      <c r="BK363" s="68">
        <f t="shared" si="1289"/>
        <v>140.63079444085585</v>
      </c>
      <c r="BL363" s="68">
        <f t="shared" si="1289"/>
        <v>143.44341032967299</v>
      </c>
    </row>
    <row r="364" spans="1:64" s="38" customFormat="1" ht="12.75" customHeight="1">
      <c r="A364" s="41"/>
      <c r="B364" s="41"/>
      <c r="C364" s="38" t="s">
        <v>90</v>
      </c>
      <c r="E364" s="48">
        <v>-922</v>
      </c>
      <c r="F364" s="48">
        <v>-922</v>
      </c>
      <c r="G364" s="48">
        <v>-922</v>
      </c>
      <c r="H364" s="48">
        <v>-922</v>
      </c>
      <c r="I364" s="48">
        <v>-922</v>
      </c>
      <c r="J364" s="48">
        <v>-922</v>
      </c>
      <c r="K364" s="48">
        <v>-922</v>
      </c>
      <c r="L364" s="48">
        <v>-922</v>
      </c>
      <c r="M364" s="48">
        <v>-922</v>
      </c>
      <c r="N364" s="48">
        <v>-922</v>
      </c>
      <c r="O364" s="48">
        <v>-922</v>
      </c>
      <c r="P364" s="48">
        <v>-922</v>
      </c>
      <c r="Q364" s="48">
        <v>-922</v>
      </c>
      <c r="R364" s="48">
        <v>-922</v>
      </c>
      <c r="S364" s="48">
        <v>-66</v>
      </c>
      <c r="T364" s="48">
        <v>27</v>
      </c>
      <c r="U364" s="39">
        <v>-13</v>
      </c>
      <c r="V364" s="39">
        <v>-192</v>
      </c>
      <c r="W364" s="39">
        <v>-38</v>
      </c>
      <c r="X364" s="38">
        <f t="shared" si="1269"/>
        <v>-110</v>
      </c>
      <c r="Y364" s="48">
        <v>-353</v>
      </c>
      <c r="Z364" s="39">
        <v>62</v>
      </c>
      <c r="AA364" s="39">
        <v>-78</v>
      </c>
      <c r="AB364" s="39">
        <v>141</v>
      </c>
      <c r="AC364" s="38">
        <f t="shared" si="1270"/>
        <v>145</v>
      </c>
      <c r="AD364" s="48">
        <v>270</v>
      </c>
      <c r="AE364" s="39">
        <v>103</v>
      </c>
      <c r="AF364" s="39">
        <v>146</v>
      </c>
      <c r="AG364" s="39">
        <v>52</v>
      </c>
      <c r="AH364" s="38">
        <f t="shared" si="1271"/>
        <v>0</v>
      </c>
      <c r="AI364" s="48">
        <v>301</v>
      </c>
      <c r="AJ364" s="39">
        <v>-135</v>
      </c>
      <c r="AK364" s="39">
        <v>-28</v>
      </c>
      <c r="AL364" s="39">
        <v>-73</v>
      </c>
      <c r="AM364" s="38">
        <f t="shared" si="1272"/>
        <v>-144</v>
      </c>
      <c r="AN364" s="48">
        <v>-380</v>
      </c>
      <c r="AO364" s="39">
        <v>-414</v>
      </c>
      <c r="AP364" s="39">
        <v>349</v>
      </c>
      <c r="AQ364" s="39">
        <v>-314</v>
      </c>
      <c r="AR364" s="38">
        <f t="shared" si="1273"/>
        <v>-80</v>
      </c>
      <c r="AS364" s="48">
        <v>-459</v>
      </c>
      <c r="AT364" s="39">
        <v>-124</v>
      </c>
      <c r="AU364" s="39">
        <v>-24</v>
      </c>
      <c r="AV364" s="39">
        <v>60</v>
      </c>
      <c r="AW364" s="38">
        <f t="shared" si="1274"/>
        <v>-44</v>
      </c>
      <c r="AX364" s="48">
        <v>-132</v>
      </c>
      <c r="AY364" s="67">
        <v>0</v>
      </c>
      <c r="AZ364" s="67">
        <v>0</v>
      </c>
      <c r="BA364" s="67">
        <v>0</v>
      </c>
      <c r="BB364" s="67">
        <v>0</v>
      </c>
      <c r="BC364" s="77">
        <f t="shared" ref="BC364" si="1290">SUM(AY364:BB364)</f>
        <v>0</v>
      </c>
      <c r="BD364" s="67">
        <v>0</v>
      </c>
      <c r="BE364" s="67">
        <v>0</v>
      </c>
      <c r="BF364" s="67">
        <v>0</v>
      </c>
      <c r="BG364" s="67">
        <v>0</v>
      </c>
      <c r="BH364" s="77">
        <f t="shared" ref="BH364" si="1291">SUM(BD364:BG364)</f>
        <v>0</v>
      </c>
      <c r="BI364" s="68">
        <v>0</v>
      </c>
      <c r="BJ364" s="68">
        <v>0</v>
      </c>
      <c r="BK364" s="68">
        <v>0</v>
      </c>
      <c r="BL364" s="68">
        <v>0</v>
      </c>
    </row>
    <row r="365" spans="1:64" s="38" customFormat="1" ht="12.75" customHeight="1">
      <c r="A365" s="41"/>
      <c r="B365" s="41"/>
      <c r="C365" s="84" t="s">
        <v>219</v>
      </c>
      <c r="E365" s="48">
        <v>116</v>
      </c>
      <c r="F365" s="48">
        <v>116</v>
      </c>
      <c r="G365" s="48">
        <v>116</v>
      </c>
      <c r="H365" s="48">
        <v>116</v>
      </c>
      <c r="I365" s="48">
        <v>116</v>
      </c>
      <c r="J365" s="48">
        <v>116</v>
      </c>
      <c r="K365" s="48">
        <v>116</v>
      </c>
      <c r="L365" s="48">
        <v>116</v>
      </c>
      <c r="M365" s="48">
        <v>116</v>
      </c>
      <c r="N365" s="48">
        <v>116</v>
      </c>
      <c r="O365" s="48">
        <v>116</v>
      </c>
      <c r="P365" s="48">
        <v>116</v>
      </c>
      <c r="Q365" s="48">
        <v>116</v>
      </c>
      <c r="R365" s="48">
        <v>116</v>
      </c>
      <c r="S365" s="48">
        <v>0</v>
      </c>
      <c r="T365" s="48">
        <v>0</v>
      </c>
      <c r="U365" s="39"/>
      <c r="V365" s="39">
        <v>0</v>
      </c>
      <c r="W365" s="39">
        <v>0</v>
      </c>
      <c r="X365" s="38">
        <f t="shared" si="1269"/>
        <v>0</v>
      </c>
      <c r="Y365" s="48"/>
      <c r="Z365" s="39"/>
      <c r="AA365" s="39">
        <v>0</v>
      </c>
      <c r="AB365" s="39">
        <v>0</v>
      </c>
      <c r="AC365" s="38">
        <f t="shared" si="1270"/>
        <v>0</v>
      </c>
      <c r="AD365" s="48"/>
      <c r="AE365" s="39"/>
      <c r="AF365" s="39">
        <v>0</v>
      </c>
      <c r="AG365" s="39">
        <v>0</v>
      </c>
      <c r="AH365" s="38">
        <f t="shared" si="1271"/>
        <v>0</v>
      </c>
      <c r="AI365" s="48"/>
      <c r="AJ365" s="39">
        <v>-162</v>
      </c>
      <c r="AK365" s="39">
        <v>162</v>
      </c>
      <c r="AL365" s="39">
        <v>0</v>
      </c>
      <c r="AM365" s="38">
        <f t="shared" si="1272"/>
        <v>0</v>
      </c>
      <c r="AN365" s="48">
        <v>0</v>
      </c>
      <c r="AO365" s="39"/>
      <c r="AP365" s="39"/>
      <c r="AQ365" s="39">
        <v>1048</v>
      </c>
      <c r="AR365" s="38">
        <f t="shared" si="1273"/>
        <v>0</v>
      </c>
      <c r="AS365" s="48">
        <v>1048</v>
      </c>
      <c r="AT365" s="39"/>
      <c r="AU365" s="39"/>
      <c r="AV365" s="39">
        <v>0</v>
      </c>
      <c r="AW365" s="38">
        <f t="shared" si="1274"/>
        <v>0</v>
      </c>
      <c r="AX365" s="48">
        <v>0</v>
      </c>
      <c r="AY365" s="67">
        <v>0</v>
      </c>
      <c r="AZ365" s="67">
        <v>0</v>
      </c>
      <c r="BA365" s="67">
        <v>0</v>
      </c>
      <c r="BB365" s="67">
        <v>0</v>
      </c>
      <c r="BC365" s="77">
        <f t="shared" si="1283"/>
        <v>0</v>
      </c>
      <c r="BD365" s="67">
        <v>0</v>
      </c>
      <c r="BE365" s="67">
        <v>0</v>
      </c>
      <c r="BF365" s="67">
        <v>0</v>
      </c>
      <c r="BG365" s="67">
        <v>0</v>
      </c>
      <c r="BH365" s="77">
        <f t="shared" si="1280"/>
        <v>0</v>
      </c>
      <c r="BI365" s="68">
        <v>0</v>
      </c>
      <c r="BJ365" s="68">
        <v>0</v>
      </c>
      <c r="BK365" s="68">
        <v>0</v>
      </c>
      <c r="BL365" s="68">
        <v>0</v>
      </c>
    </row>
    <row r="366" spans="1:64" s="38" customFormat="1" ht="12.75" customHeight="1">
      <c r="A366" s="41"/>
      <c r="B366" s="41"/>
      <c r="C366" s="84" t="s">
        <v>234</v>
      </c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39"/>
      <c r="V366" s="39">
        <v>193</v>
      </c>
      <c r="W366" s="39">
        <v>0</v>
      </c>
      <c r="X366" s="38">
        <f t="shared" si="1269"/>
        <v>20</v>
      </c>
      <c r="Y366" s="48">
        <v>213</v>
      </c>
      <c r="Z366" s="39"/>
      <c r="AA366" s="39"/>
      <c r="AB366" s="39"/>
      <c r="AC366" s="38">
        <f t="shared" si="1270"/>
        <v>0</v>
      </c>
      <c r="AD366" s="48">
        <v>0</v>
      </c>
      <c r="AE366" s="39"/>
      <c r="AF366" s="39"/>
      <c r="AG366" s="39"/>
      <c r="AH366" s="38">
        <f t="shared" si="1271"/>
        <v>0</v>
      </c>
      <c r="AI366" s="48">
        <v>0</v>
      </c>
      <c r="AJ366" s="39"/>
      <c r="AK366" s="39"/>
      <c r="AL366" s="39"/>
      <c r="AM366" s="38">
        <f t="shared" si="1272"/>
        <v>0</v>
      </c>
      <c r="AN366" s="48"/>
      <c r="AO366" s="39"/>
      <c r="AP366" s="39"/>
      <c r="AQ366" s="39"/>
      <c r="AS366" s="48"/>
      <c r="AT366" s="39"/>
      <c r="AU366" s="39"/>
      <c r="AV366" s="39"/>
      <c r="AX366" s="48"/>
      <c r="AY366" s="67">
        <v>0</v>
      </c>
      <c r="AZ366" s="67">
        <v>0</v>
      </c>
      <c r="BA366" s="67">
        <v>0</v>
      </c>
      <c r="BB366" s="67">
        <v>0</v>
      </c>
      <c r="BC366" s="77">
        <f t="shared" si="1283"/>
        <v>0</v>
      </c>
      <c r="BD366" s="67">
        <v>0</v>
      </c>
      <c r="BE366" s="67">
        <v>0</v>
      </c>
      <c r="BF366" s="67">
        <v>0</v>
      </c>
      <c r="BG366" s="67">
        <v>0</v>
      </c>
      <c r="BH366" s="77">
        <f t="shared" si="1280"/>
        <v>0</v>
      </c>
      <c r="BI366" s="68">
        <v>0</v>
      </c>
      <c r="BJ366" s="68">
        <v>0</v>
      </c>
      <c r="BK366" s="68">
        <v>0</v>
      </c>
      <c r="BL366" s="68">
        <v>0</v>
      </c>
    </row>
    <row r="367" spans="1:64" s="38" customFormat="1" ht="12.75" customHeight="1">
      <c r="A367" s="41"/>
      <c r="B367" s="41"/>
      <c r="C367" s="84" t="s">
        <v>222</v>
      </c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39">
        <v>0</v>
      </c>
      <c r="V367" s="39">
        <v>-1</v>
      </c>
      <c r="W367" s="39">
        <v>2</v>
      </c>
      <c r="X367" s="38">
        <f t="shared" si="1269"/>
        <v>7</v>
      </c>
      <c r="Y367" s="48">
        <v>8</v>
      </c>
      <c r="Z367" s="39">
        <v>-15</v>
      </c>
      <c r="AA367" s="39">
        <v>329</v>
      </c>
      <c r="AB367" s="39">
        <v>0</v>
      </c>
      <c r="AC367" s="38">
        <f t="shared" si="1270"/>
        <v>0</v>
      </c>
      <c r="AD367" s="48">
        <v>314</v>
      </c>
      <c r="AE367" s="39">
        <v>0</v>
      </c>
      <c r="AF367" s="39">
        <v>0</v>
      </c>
      <c r="AG367" s="39">
        <v>0</v>
      </c>
      <c r="AH367" s="38">
        <f t="shared" si="1271"/>
        <v>0</v>
      </c>
      <c r="AI367" s="48">
        <v>0</v>
      </c>
      <c r="AJ367" s="39"/>
      <c r="AK367" s="39"/>
      <c r="AL367" s="39"/>
      <c r="AM367" s="38">
        <f t="shared" si="1272"/>
        <v>0</v>
      </c>
      <c r="AN367" s="48"/>
      <c r="AO367" s="39"/>
      <c r="AP367" s="39"/>
      <c r="AQ367" s="39"/>
      <c r="AS367" s="48"/>
      <c r="AT367" s="39"/>
      <c r="AU367" s="39"/>
      <c r="AV367" s="39"/>
      <c r="AX367" s="48"/>
      <c r="AY367" s="67">
        <v>0</v>
      </c>
      <c r="AZ367" s="67">
        <v>0</v>
      </c>
      <c r="BA367" s="67">
        <v>0</v>
      </c>
      <c r="BB367" s="67">
        <v>0</v>
      </c>
      <c r="BC367" s="77">
        <f t="shared" si="1283"/>
        <v>0</v>
      </c>
      <c r="BD367" s="67">
        <v>0</v>
      </c>
      <c r="BE367" s="67">
        <v>0</v>
      </c>
      <c r="BF367" s="67">
        <v>0</v>
      </c>
      <c r="BG367" s="67">
        <v>0</v>
      </c>
      <c r="BH367" s="77">
        <f t="shared" si="1280"/>
        <v>0</v>
      </c>
      <c r="BI367" s="68">
        <v>0</v>
      </c>
      <c r="BJ367" s="68">
        <v>0</v>
      </c>
      <c r="BK367" s="68">
        <v>0</v>
      </c>
      <c r="BL367" s="68">
        <v>0</v>
      </c>
    </row>
    <row r="368" spans="1:64" s="38" customFormat="1" ht="12.75" customHeight="1">
      <c r="A368" s="41"/>
      <c r="B368" s="41"/>
      <c r="C368" s="84" t="s">
        <v>235</v>
      </c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39">
        <v>0</v>
      </c>
      <c r="V368" s="39">
        <v>0</v>
      </c>
      <c r="W368" s="39">
        <v>0</v>
      </c>
      <c r="X368" s="38">
        <f t="shared" si="1269"/>
        <v>0</v>
      </c>
      <c r="Y368" s="48">
        <v>0</v>
      </c>
      <c r="Z368" s="39">
        <v>-392</v>
      </c>
      <c r="AA368" s="39">
        <v>-8</v>
      </c>
      <c r="AB368" s="39"/>
      <c r="AC368" s="38">
        <f t="shared" si="1270"/>
        <v>0</v>
      </c>
      <c r="AD368" s="48">
        <v>-400</v>
      </c>
      <c r="AE368" s="39"/>
      <c r="AF368" s="39"/>
      <c r="AG368" s="39"/>
      <c r="AH368" s="38">
        <f t="shared" si="1271"/>
        <v>0</v>
      </c>
      <c r="AI368" s="48">
        <v>0</v>
      </c>
      <c r="AJ368" s="39"/>
      <c r="AK368" s="39"/>
      <c r="AL368" s="39"/>
      <c r="AM368" s="38">
        <f t="shared" si="1272"/>
        <v>0</v>
      </c>
      <c r="AN368" s="48"/>
      <c r="AO368" s="39"/>
      <c r="AP368" s="39"/>
      <c r="AQ368" s="39"/>
      <c r="AS368" s="48"/>
      <c r="AT368" s="39"/>
      <c r="AU368" s="39"/>
      <c r="AV368" s="39"/>
      <c r="AX368" s="48"/>
      <c r="AY368" s="67">
        <v>0</v>
      </c>
      <c r="AZ368" s="67">
        <v>0</v>
      </c>
      <c r="BA368" s="67">
        <v>0</v>
      </c>
      <c r="BB368" s="67">
        <v>0</v>
      </c>
      <c r="BC368" s="77">
        <f t="shared" si="1283"/>
        <v>0</v>
      </c>
      <c r="BD368" s="67">
        <v>0</v>
      </c>
      <c r="BE368" s="67">
        <v>0</v>
      </c>
      <c r="BF368" s="67">
        <v>0</v>
      </c>
      <c r="BG368" s="67">
        <v>0</v>
      </c>
      <c r="BH368" s="77">
        <f t="shared" si="1280"/>
        <v>0</v>
      </c>
      <c r="BI368" s="68">
        <v>0</v>
      </c>
      <c r="BJ368" s="68">
        <v>0</v>
      </c>
      <c r="BK368" s="68">
        <v>0</v>
      </c>
      <c r="BL368" s="68">
        <v>0</v>
      </c>
    </row>
    <row r="369" spans="1:70" s="38" customFormat="1" ht="12.75" customHeight="1">
      <c r="A369" s="41"/>
      <c r="B369" s="41"/>
      <c r="C369" s="38" t="s">
        <v>205</v>
      </c>
      <c r="E369" s="48">
        <v>-2</v>
      </c>
      <c r="F369" s="48">
        <v>-2</v>
      </c>
      <c r="G369" s="48">
        <v>-2</v>
      </c>
      <c r="H369" s="48">
        <v>-2</v>
      </c>
      <c r="I369" s="48">
        <v>-2</v>
      </c>
      <c r="J369" s="48">
        <v>-2</v>
      </c>
      <c r="K369" s="48">
        <v>-2</v>
      </c>
      <c r="L369" s="48">
        <v>-2</v>
      </c>
      <c r="M369" s="48">
        <v>-2</v>
      </c>
      <c r="N369" s="48">
        <v>-2</v>
      </c>
      <c r="O369" s="48">
        <v>-2</v>
      </c>
      <c r="P369" s="48">
        <v>-2</v>
      </c>
      <c r="Q369" s="48">
        <v>-2</v>
      </c>
      <c r="R369" s="48">
        <v>-2</v>
      </c>
      <c r="S369" s="48">
        <v>-1</v>
      </c>
      <c r="T369" s="48">
        <v>-39</v>
      </c>
      <c r="U369" s="39">
        <v>-21</v>
      </c>
      <c r="V369" s="39">
        <v>-3</v>
      </c>
      <c r="W369" s="39">
        <v>0</v>
      </c>
      <c r="X369" s="38">
        <f t="shared" si="1269"/>
        <v>0</v>
      </c>
      <c r="Y369" s="48">
        <v>-24</v>
      </c>
      <c r="Z369" s="39">
        <v>0</v>
      </c>
      <c r="AA369" s="39">
        <v>0</v>
      </c>
      <c r="AB369" s="39">
        <v>0</v>
      </c>
      <c r="AC369" s="38">
        <f t="shared" si="1270"/>
        <v>-8</v>
      </c>
      <c r="AD369" s="48">
        <v>-8</v>
      </c>
      <c r="AE369" s="39">
        <v>0</v>
      </c>
      <c r="AF369" s="39">
        <v>0</v>
      </c>
      <c r="AG369" s="39">
        <v>0</v>
      </c>
      <c r="AH369" s="38">
        <f t="shared" si="1271"/>
        <v>-5</v>
      </c>
      <c r="AI369" s="48">
        <v>-5</v>
      </c>
      <c r="AJ369" s="39">
        <v>0</v>
      </c>
      <c r="AK369" s="39">
        <v>-165</v>
      </c>
      <c r="AL369" s="39">
        <v>0</v>
      </c>
      <c r="AM369" s="38">
        <f t="shared" si="1272"/>
        <v>3</v>
      </c>
      <c r="AN369" s="48">
        <v>-162</v>
      </c>
      <c r="AO369" s="39">
        <v>1</v>
      </c>
      <c r="AP369" s="39">
        <v>-1</v>
      </c>
      <c r="AQ369" s="39">
        <v>0</v>
      </c>
      <c r="AR369" s="38">
        <f t="shared" si="1273"/>
        <v>0</v>
      </c>
      <c r="AS369" s="48">
        <v>0</v>
      </c>
      <c r="AT369" s="39">
        <v>-3</v>
      </c>
      <c r="AU369" s="39">
        <v>-86</v>
      </c>
      <c r="AV369" s="39">
        <v>-39</v>
      </c>
      <c r="AW369" s="38">
        <f t="shared" si="1274"/>
        <v>-16</v>
      </c>
      <c r="AX369" s="48">
        <v>-144</v>
      </c>
      <c r="AY369" s="67">
        <v>0</v>
      </c>
      <c r="AZ369" s="67">
        <v>0</v>
      </c>
      <c r="BA369" s="67">
        <v>0</v>
      </c>
      <c r="BB369" s="67">
        <v>0</v>
      </c>
      <c r="BC369" s="77">
        <f t="shared" si="1283"/>
        <v>0</v>
      </c>
      <c r="BD369" s="67">
        <v>0</v>
      </c>
      <c r="BE369" s="67">
        <v>0</v>
      </c>
      <c r="BF369" s="67">
        <v>0</v>
      </c>
      <c r="BG369" s="67">
        <v>0</v>
      </c>
      <c r="BH369" s="77">
        <f t="shared" si="1280"/>
        <v>0</v>
      </c>
      <c r="BI369" s="68">
        <v>0</v>
      </c>
      <c r="BJ369" s="68">
        <v>0</v>
      </c>
      <c r="BK369" s="68">
        <v>0</v>
      </c>
      <c r="BL369" s="68">
        <v>0</v>
      </c>
    </row>
    <row r="370" spans="1:70" s="38" customFormat="1" ht="12.75" customHeight="1">
      <c r="A370" s="41"/>
      <c r="B370" s="41"/>
      <c r="C370" s="38" t="s">
        <v>206</v>
      </c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39"/>
      <c r="V370" s="39">
        <v>0</v>
      </c>
      <c r="W370" s="39">
        <v>0</v>
      </c>
      <c r="X370" s="38">
        <f t="shared" si="1269"/>
        <v>0</v>
      </c>
      <c r="Y370" s="48">
        <v>0</v>
      </c>
      <c r="Z370" s="39">
        <v>0</v>
      </c>
      <c r="AA370" s="39">
        <v>0</v>
      </c>
      <c r="AB370" s="39">
        <v>-16</v>
      </c>
      <c r="AC370" s="38">
        <f t="shared" si="1270"/>
        <v>643</v>
      </c>
      <c r="AD370" s="48">
        <v>627</v>
      </c>
      <c r="AE370" s="39">
        <v>-50</v>
      </c>
      <c r="AF370" s="39">
        <v>-461</v>
      </c>
      <c r="AG370" s="39">
        <v>-73</v>
      </c>
      <c r="AH370" s="38">
        <f t="shared" si="1271"/>
        <v>-120</v>
      </c>
      <c r="AI370" s="48">
        <v>-704</v>
      </c>
      <c r="AJ370" s="39">
        <v>118</v>
      </c>
      <c r="AK370" s="39">
        <v>100</v>
      </c>
      <c r="AL370" s="39">
        <v>-328</v>
      </c>
      <c r="AM370" s="38">
        <f t="shared" si="1272"/>
        <v>-53</v>
      </c>
      <c r="AN370" s="48">
        <v>-163</v>
      </c>
      <c r="AO370" s="39">
        <v>-86</v>
      </c>
      <c r="AP370" s="39">
        <v>-165</v>
      </c>
      <c r="AQ370" s="39">
        <v>-21</v>
      </c>
      <c r="AR370" s="38">
        <f t="shared" si="1273"/>
        <v>-3</v>
      </c>
      <c r="AS370" s="48">
        <v>-275</v>
      </c>
      <c r="AT370" s="39">
        <v>9</v>
      </c>
      <c r="AU370" s="39">
        <v>115</v>
      </c>
      <c r="AV370" s="39">
        <v>6</v>
      </c>
      <c r="AW370" s="38">
        <f t="shared" si="1274"/>
        <v>-86</v>
      </c>
      <c r="AX370" s="48">
        <v>44</v>
      </c>
      <c r="AY370" s="67">
        <v>0</v>
      </c>
      <c r="AZ370" s="67">
        <v>0</v>
      </c>
      <c r="BA370" s="67">
        <v>0</v>
      </c>
      <c r="BB370" s="67">
        <v>0</v>
      </c>
      <c r="BC370" s="77">
        <f t="shared" si="1283"/>
        <v>0</v>
      </c>
      <c r="BD370" s="67">
        <v>0</v>
      </c>
      <c r="BE370" s="67">
        <v>0</v>
      </c>
      <c r="BF370" s="67">
        <v>0</v>
      </c>
      <c r="BG370" s="67">
        <v>0</v>
      </c>
      <c r="BH370" s="77">
        <f t="shared" si="1280"/>
        <v>0</v>
      </c>
      <c r="BI370" s="68">
        <v>0</v>
      </c>
      <c r="BJ370" s="68">
        <v>0</v>
      </c>
      <c r="BK370" s="68">
        <v>0</v>
      </c>
      <c r="BL370" s="68">
        <v>0</v>
      </c>
    </row>
    <row r="371" spans="1:70" s="38" customFormat="1" ht="12.75" customHeight="1">
      <c r="A371" s="41"/>
      <c r="B371" s="41"/>
      <c r="C371" s="38" t="s">
        <v>207</v>
      </c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39"/>
      <c r="V371" s="39">
        <v>0</v>
      </c>
      <c r="W371" s="39">
        <v>0</v>
      </c>
      <c r="X371" s="38">
        <f t="shared" si="1269"/>
        <v>-3</v>
      </c>
      <c r="Y371" s="48">
        <v>-3</v>
      </c>
      <c r="Z371" s="39">
        <v>1</v>
      </c>
      <c r="AA371" s="39">
        <v>1</v>
      </c>
      <c r="AB371" s="39">
        <v>-3</v>
      </c>
      <c r="AC371" s="38">
        <f t="shared" si="1270"/>
        <v>-3</v>
      </c>
      <c r="AD371" s="48">
        <v>-4</v>
      </c>
      <c r="AE371" s="39">
        <v>-44</v>
      </c>
      <c r="AF371" s="39">
        <v>-21</v>
      </c>
      <c r="AG371" s="39">
        <v>-55</v>
      </c>
      <c r="AH371" s="38">
        <f t="shared" si="1271"/>
        <v>9</v>
      </c>
      <c r="AI371" s="48">
        <v>-111</v>
      </c>
      <c r="AJ371" s="39">
        <v>108</v>
      </c>
      <c r="AK371" s="39">
        <v>-2</v>
      </c>
      <c r="AL371" s="39">
        <v>1</v>
      </c>
      <c r="AM371" s="38">
        <f t="shared" si="1272"/>
        <v>10</v>
      </c>
      <c r="AN371" s="48">
        <v>117</v>
      </c>
      <c r="AO371" s="39">
        <v>6</v>
      </c>
      <c r="AP371" s="39">
        <v>2</v>
      </c>
      <c r="AQ371" s="39">
        <v>-16</v>
      </c>
      <c r="AR371" s="38">
        <f t="shared" si="1273"/>
        <v>15</v>
      </c>
      <c r="AS371" s="48">
        <v>7</v>
      </c>
      <c r="AT371" s="39">
        <v>0</v>
      </c>
      <c r="AU371" s="39">
        <v>104</v>
      </c>
      <c r="AV371" s="39">
        <v>-32</v>
      </c>
      <c r="AW371" s="38">
        <f t="shared" si="1274"/>
        <v>-109</v>
      </c>
      <c r="AX371" s="48">
        <v>-37</v>
      </c>
      <c r="AY371" s="67">
        <v>0</v>
      </c>
      <c r="AZ371" s="67">
        <v>0</v>
      </c>
      <c r="BA371" s="67">
        <v>0</v>
      </c>
      <c r="BB371" s="67">
        <v>0</v>
      </c>
      <c r="BC371" s="77">
        <f t="shared" si="1283"/>
        <v>0</v>
      </c>
      <c r="BD371" s="67">
        <v>0</v>
      </c>
      <c r="BE371" s="67">
        <v>0</v>
      </c>
      <c r="BF371" s="67">
        <v>0</v>
      </c>
      <c r="BG371" s="67">
        <v>0</v>
      </c>
      <c r="BH371" s="77">
        <f t="shared" si="1280"/>
        <v>0</v>
      </c>
      <c r="BI371" s="68">
        <v>0</v>
      </c>
      <c r="BJ371" s="68">
        <v>0</v>
      </c>
      <c r="BK371" s="68">
        <v>0</v>
      </c>
      <c r="BL371" s="68">
        <v>0</v>
      </c>
    </row>
    <row r="372" spans="1:70" s="38" customFormat="1" ht="12.75" customHeight="1">
      <c r="A372" s="41"/>
      <c r="B372" s="41"/>
      <c r="C372" s="38" t="s">
        <v>72</v>
      </c>
      <c r="E372" s="48">
        <v>-8</v>
      </c>
      <c r="F372" s="48">
        <v>-8</v>
      </c>
      <c r="G372" s="48">
        <v>-8</v>
      </c>
      <c r="H372" s="48">
        <v>-8</v>
      </c>
      <c r="I372" s="48">
        <v>-8</v>
      </c>
      <c r="J372" s="48">
        <v>-8</v>
      </c>
      <c r="K372" s="48">
        <v>-8</v>
      </c>
      <c r="L372" s="48">
        <v>-8</v>
      </c>
      <c r="M372" s="48">
        <v>-8</v>
      </c>
      <c r="N372" s="48">
        <v>-8</v>
      </c>
      <c r="O372" s="48">
        <v>-8</v>
      </c>
      <c r="P372" s="48">
        <v>-8</v>
      </c>
      <c r="Q372" s="48">
        <v>-8</v>
      </c>
      <c r="R372" s="48">
        <v>-8</v>
      </c>
      <c r="S372" s="48">
        <v>-13</v>
      </c>
      <c r="T372" s="48">
        <v>-39</v>
      </c>
      <c r="U372" s="39">
        <v>4</v>
      </c>
      <c r="V372" s="39">
        <v>-5</v>
      </c>
      <c r="W372" s="39">
        <v>-3</v>
      </c>
      <c r="X372" s="38">
        <f t="shared" si="1269"/>
        <v>12</v>
      </c>
      <c r="Y372" s="48">
        <v>8</v>
      </c>
      <c r="Z372" s="39">
        <v>-2</v>
      </c>
      <c r="AA372" s="39">
        <v>-8</v>
      </c>
      <c r="AB372" s="39">
        <v>-5</v>
      </c>
      <c r="AC372" s="38">
        <f t="shared" si="1270"/>
        <v>14</v>
      </c>
      <c r="AD372" s="48">
        <v>-1</v>
      </c>
      <c r="AE372" s="39">
        <v>-1</v>
      </c>
      <c r="AF372" s="39">
        <v>-2</v>
      </c>
      <c r="AG372" s="39">
        <v>1</v>
      </c>
      <c r="AH372" s="38">
        <f t="shared" si="1271"/>
        <v>13</v>
      </c>
      <c r="AI372" s="48">
        <v>11</v>
      </c>
      <c r="AJ372" s="39">
        <v>0</v>
      </c>
      <c r="AK372" s="39">
        <v>5</v>
      </c>
      <c r="AL372" s="39">
        <v>4</v>
      </c>
      <c r="AM372" s="38">
        <f t="shared" si="1272"/>
        <v>-4</v>
      </c>
      <c r="AN372" s="48">
        <v>5</v>
      </c>
      <c r="AO372" s="39">
        <v>-10</v>
      </c>
      <c r="AP372" s="39">
        <v>9</v>
      </c>
      <c r="AQ372" s="39">
        <v>0</v>
      </c>
      <c r="AR372" s="38">
        <f t="shared" si="1273"/>
        <v>-25</v>
      </c>
      <c r="AS372" s="48">
        <v>-26</v>
      </c>
      <c r="AT372" s="39">
        <v>4</v>
      </c>
      <c r="AU372" s="39">
        <v>5</v>
      </c>
      <c r="AV372" s="39">
        <v>-4</v>
      </c>
      <c r="AW372" s="38">
        <f t="shared" si="1274"/>
        <v>1</v>
      </c>
      <c r="AX372" s="48">
        <v>6</v>
      </c>
      <c r="AY372" s="67">
        <v>0</v>
      </c>
      <c r="AZ372" s="67">
        <v>0</v>
      </c>
      <c r="BA372" s="67">
        <v>0</v>
      </c>
      <c r="BB372" s="67">
        <v>0</v>
      </c>
      <c r="BC372" s="77">
        <f t="shared" ref="BC372" si="1292">SUM(AY372:BB372)</f>
        <v>0</v>
      </c>
      <c r="BD372" s="67">
        <v>0</v>
      </c>
      <c r="BE372" s="67">
        <v>0</v>
      </c>
      <c r="BF372" s="67">
        <v>0</v>
      </c>
      <c r="BG372" s="67">
        <v>0</v>
      </c>
      <c r="BH372" s="77">
        <f t="shared" ref="BH372" si="1293">SUM(BD372:BG372)</f>
        <v>0</v>
      </c>
      <c r="BI372" s="68">
        <v>0</v>
      </c>
      <c r="BJ372" s="68">
        <v>0</v>
      </c>
      <c r="BK372" s="68">
        <v>0</v>
      </c>
      <c r="BL372" s="68">
        <v>0</v>
      </c>
    </row>
    <row r="373" spans="1:70" s="38" customFormat="1" ht="12.75" customHeight="1">
      <c r="A373" s="41"/>
      <c r="B373" s="41"/>
      <c r="C373" s="38" t="s">
        <v>208</v>
      </c>
      <c r="E373" s="48">
        <v>-75</v>
      </c>
      <c r="F373" s="48">
        <v>-75</v>
      </c>
      <c r="G373" s="48">
        <v>-75</v>
      </c>
      <c r="H373" s="48">
        <v>-75</v>
      </c>
      <c r="I373" s="48">
        <v>-75</v>
      </c>
      <c r="J373" s="48">
        <v>-75</v>
      </c>
      <c r="K373" s="48">
        <v>-75</v>
      </c>
      <c r="L373" s="48">
        <v>-75</v>
      </c>
      <c r="M373" s="48">
        <v>-75</v>
      </c>
      <c r="N373" s="48">
        <v>-75</v>
      </c>
      <c r="O373" s="48">
        <v>-75</v>
      </c>
      <c r="P373" s="48">
        <v>-75</v>
      </c>
      <c r="Q373" s="48">
        <v>-75</v>
      </c>
      <c r="R373" s="48">
        <v>-75</v>
      </c>
      <c r="S373" s="48">
        <v>-136</v>
      </c>
      <c r="T373" s="48">
        <v>-88</v>
      </c>
      <c r="U373" s="39">
        <v>226</v>
      </c>
      <c r="V373" s="39">
        <v>61</v>
      </c>
      <c r="W373" s="39">
        <v>-56</v>
      </c>
      <c r="X373" s="38">
        <f t="shared" si="1269"/>
        <v>-36</v>
      </c>
      <c r="Y373" s="48">
        <v>195</v>
      </c>
      <c r="Z373" s="39">
        <v>-73</v>
      </c>
      <c r="AA373" s="39">
        <v>-141</v>
      </c>
      <c r="AB373" s="39">
        <v>-9</v>
      </c>
      <c r="AC373" s="38">
        <f t="shared" si="1270"/>
        <v>13</v>
      </c>
      <c r="AD373" s="48">
        <v>-210</v>
      </c>
      <c r="AE373" s="39">
        <v>-43</v>
      </c>
      <c r="AF373" s="39">
        <v>-157</v>
      </c>
      <c r="AG373" s="39">
        <v>-34</v>
      </c>
      <c r="AH373" s="38">
        <f t="shared" si="1271"/>
        <v>-30</v>
      </c>
      <c r="AI373" s="48">
        <v>-264</v>
      </c>
      <c r="AJ373" s="39">
        <v>-50</v>
      </c>
      <c r="AK373" s="39">
        <v>-284</v>
      </c>
      <c r="AL373" s="39">
        <v>-49</v>
      </c>
      <c r="AM373" s="38">
        <f t="shared" si="1272"/>
        <v>167</v>
      </c>
      <c r="AN373" s="48">
        <v>-216</v>
      </c>
      <c r="AO373" s="39">
        <v>-36</v>
      </c>
      <c r="AP373" s="39">
        <v>-165</v>
      </c>
      <c r="AQ373" s="39">
        <v>156</v>
      </c>
      <c r="AR373" s="38">
        <f t="shared" si="1273"/>
        <v>68</v>
      </c>
      <c r="AS373" s="48">
        <v>23</v>
      </c>
      <c r="AT373" s="39">
        <v>43</v>
      </c>
      <c r="AU373" s="39">
        <v>-127</v>
      </c>
      <c r="AV373" s="39">
        <v>62</v>
      </c>
      <c r="AW373" s="38">
        <f t="shared" si="1274"/>
        <v>11</v>
      </c>
      <c r="AX373" s="48">
        <v>-11</v>
      </c>
      <c r="AY373" s="67">
        <f t="shared" ref="AY373:BB374" si="1294">AX9-AY9</f>
        <v>-7.409897527845942</v>
      </c>
      <c r="AZ373" s="67">
        <f t="shared" si="1294"/>
        <v>-5.0633459013024549</v>
      </c>
      <c r="BA373" s="67">
        <f t="shared" si="1294"/>
        <v>-6.2426874008119739</v>
      </c>
      <c r="BB373" s="67">
        <f t="shared" si="1294"/>
        <v>-6.7169362451111283</v>
      </c>
      <c r="BC373" s="77">
        <f t="shared" si="1283"/>
        <v>-25.432867075071499</v>
      </c>
      <c r="BD373" s="67">
        <f t="shared" ref="BD373:BG374" si="1295">BC9-BD9</f>
        <v>-4.8811001142446457</v>
      </c>
      <c r="BE373" s="67">
        <f t="shared" si="1295"/>
        <v>-5.8052885549025177</v>
      </c>
      <c r="BF373" s="67">
        <f t="shared" si="1295"/>
        <v>-6.5937624968405544</v>
      </c>
      <c r="BG373" s="67">
        <f t="shared" si="1295"/>
        <v>-5.4285061755138031</v>
      </c>
      <c r="BH373" s="77">
        <f t="shared" si="1280"/>
        <v>-22.708657341501521</v>
      </c>
      <c r="BI373" s="68">
        <f t="shared" ref="BI373:BL374" si="1296">BH9-BI9</f>
        <v>-26.070416923131916</v>
      </c>
      <c r="BJ373" s="68">
        <f t="shared" si="1296"/>
        <v>-20.383976039453728</v>
      </c>
      <c r="BK373" s="68">
        <f t="shared" si="1296"/>
        <v>-24.091918347583487</v>
      </c>
      <c r="BL373" s="68">
        <f t="shared" si="1296"/>
        <v>-24.573756714534966</v>
      </c>
    </row>
    <row r="374" spans="1:70" s="38" customFormat="1" ht="12.75" customHeight="1">
      <c r="A374" s="41"/>
      <c r="B374" s="41"/>
      <c r="C374" s="38" t="s">
        <v>181</v>
      </c>
      <c r="E374" s="48">
        <v>-22</v>
      </c>
      <c r="F374" s="48">
        <v>-22</v>
      </c>
      <c r="G374" s="48">
        <v>-22</v>
      </c>
      <c r="H374" s="48">
        <v>-22</v>
      </c>
      <c r="I374" s="48">
        <v>-22</v>
      </c>
      <c r="J374" s="48">
        <v>-22</v>
      </c>
      <c r="K374" s="48">
        <v>-22</v>
      </c>
      <c r="L374" s="48">
        <v>-22</v>
      </c>
      <c r="M374" s="48">
        <v>-22</v>
      </c>
      <c r="N374" s="48">
        <v>-22</v>
      </c>
      <c r="O374" s="48">
        <v>-22</v>
      </c>
      <c r="P374" s="48">
        <v>-22</v>
      </c>
      <c r="Q374" s="48">
        <v>-22</v>
      </c>
      <c r="R374" s="48">
        <v>-22</v>
      </c>
      <c r="S374" s="48">
        <v>-23</v>
      </c>
      <c r="T374" s="48">
        <v>-8</v>
      </c>
      <c r="U374" s="39">
        <v>-61</v>
      </c>
      <c r="V374" s="39">
        <v>57</v>
      </c>
      <c r="W374" s="39">
        <v>37</v>
      </c>
      <c r="X374" s="38">
        <f t="shared" si="1269"/>
        <v>59</v>
      </c>
      <c r="Y374" s="48">
        <v>92</v>
      </c>
      <c r="Z374" s="39">
        <v>-87</v>
      </c>
      <c r="AA374" s="39">
        <v>20</v>
      </c>
      <c r="AB374" s="39">
        <v>14</v>
      </c>
      <c r="AC374" s="38">
        <f t="shared" si="1270"/>
        <v>33</v>
      </c>
      <c r="AD374" s="48">
        <v>-20</v>
      </c>
      <c r="AE374" s="39">
        <v>-40</v>
      </c>
      <c r="AF374" s="39">
        <v>-47</v>
      </c>
      <c r="AG374" s="39">
        <v>7</v>
      </c>
      <c r="AH374" s="38">
        <f t="shared" si="1271"/>
        <v>-46</v>
      </c>
      <c r="AI374" s="48">
        <v>-126</v>
      </c>
      <c r="AJ374" s="39">
        <v>-48</v>
      </c>
      <c r="AK374" s="39">
        <v>-50</v>
      </c>
      <c r="AL374" s="39">
        <v>3</v>
      </c>
      <c r="AM374" s="38">
        <f t="shared" si="1272"/>
        <v>56</v>
      </c>
      <c r="AN374" s="48">
        <v>-39</v>
      </c>
      <c r="AO374" s="39">
        <v>-56</v>
      </c>
      <c r="AP374" s="39">
        <v>-3</v>
      </c>
      <c r="AQ374" s="39">
        <v>39</v>
      </c>
      <c r="AR374" s="38">
        <f t="shared" si="1273"/>
        <v>28</v>
      </c>
      <c r="AS374" s="48">
        <v>8</v>
      </c>
      <c r="AT374" s="39">
        <v>-34</v>
      </c>
      <c r="AU374" s="39">
        <v>-19</v>
      </c>
      <c r="AV374" s="39">
        <v>23</v>
      </c>
      <c r="AW374" s="38">
        <f t="shared" si="1274"/>
        <v>18</v>
      </c>
      <c r="AX374" s="48">
        <v>-12</v>
      </c>
      <c r="AY374" s="67">
        <f t="shared" si="1294"/>
        <v>-5.2203061862842333</v>
      </c>
      <c r="AZ374" s="67">
        <f t="shared" si="1294"/>
        <v>-3.5671499953319881</v>
      </c>
      <c r="BA374" s="67">
        <f t="shared" si="1294"/>
        <v>-4.3980013940856679</v>
      </c>
      <c r="BB374" s="67">
        <f t="shared" si="1294"/>
        <v>-4.7321118411502994</v>
      </c>
      <c r="BC374" s="77">
        <f t="shared" si="1283"/>
        <v>-17.917569416852189</v>
      </c>
      <c r="BD374" s="67">
        <f t="shared" si="1295"/>
        <v>-3.4387570174228586</v>
      </c>
      <c r="BE374" s="67">
        <f t="shared" si="1295"/>
        <v>-4.0898519368772668</v>
      </c>
      <c r="BF374" s="67">
        <f t="shared" si="1295"/>
        <v>-4.6453353806570021</v>
      </c>
      <c r="BG374" s="67">
        <f t="shared" si="1295"/>
        <v>-3.8244070533800141</v>
      </c>
      <c r="BH374" s="77">
        <f t="shared" si="1280"/>
        <v>-15.998351388337142</v>
      </c>
      <c r="BI374" s="68">
        <f t="shared" si="1296"/>
        <v>-18.366726156656796</v>
      </c>
      <c r="BJ374" s="68">
        <f t="shared" si="1296"/>
        <v>-14.360602939507203</v>
      </c>
      <c r="BK374" s="68">
        <f t="shared" si="1296"/>
        <v>-16.972864998027148</v>
      </c>
      <c r="BL374" s="68">
        <f t="shared" si="1296"/>
        <v>-17.312322297987748</v>
      </c>
    </row>
    <row r="375" spans="1:70" s="38" customFormat="1" ht="12.75" customHeight="1">
      <c r="A375" s="41"/>
      <c r="B375" s="41"/>
      <c r="C375" s="38" t="s">
        <v>187</v>
      </c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>
        <v>402</v>
      </c>
      <c r="U375" s="39">
        <v>100</v>
      </c>
      <c r="V375" s="39">
        <v>89</v>
      </c>
      <c r="W375" s="39">
        <v>88</v>
      </c>
      <c r="X375" s="38">
        <f t="shared" si="1269"/>
        <v>89</v>
      </c>
      <c r="Y375" s="48">
        <v>366</v>
      </c>
      <c r="Z375" s="39">
        <v>78</v>
      </c>
      <c r="AA375" s="39">
        <v>76</v>
      </c>
      <c r="AB375" s="39">
        <v>49</v>
      </c>
      <c r="AC375" s="38">
        <f t="shared" si="1270"/>
        <v>71</v>
      </c>
      <c r="AD375" s="48">
        <v>274</v>
      </c>
      <c r="AE375" s="39">
        <v>72</v>
      </c>
      <c r="AF375" s="39">
        <v>7</v>
      </c>
      <c r="AG375" s="39">
        <v>123</v>
      </c>
      <c r="AH375" s="38">
        <f t="shared" si="1271"/>
        <v>78</v>
      </c>
      <c r="AI375" s="48">
        <v>280</v>
      </c>
      <c r="AJ375" s="39">
        <v>78</v>
      </c>
      <c r="AK375" s="39">
        <v>87</v>
      </c>
      <c r="AL375" s="39">
        <v>88</v>
      </c>
      <c r="AM375" s="38">
        <f t="shared" si="1272"/>
        <v>112</v>
      </c>
      <c r="AN375" s="48">
        <v>365</v>
      </c>
      <c r="AO375" s="39">
        <v>100</v>
      </c>
      <c r="AP375" s="39">
        <v>90</v>
      </c>
      <c r="AQ375" s="39">
        <v>91</v>
      </c>
      <c r="AR375" s="38">
        <f t="shared" si="1273"/>
        <v>105</v>
      </c>
      <c r="AS375" s="48">
        <v>386</v>
      </c>
      <c r="AT375" s="39">
        <v>113</v>
      </c>
      <c r="AU375" s="39">
        <v>105</v>
      </c>
      <c r="AV375" s="39">
        <v>105</v>
      </c>
      <c r="AW375" s="38">
        <f t="shared" si="1274"/>
        <v>114</v>
      </c>
      <c r="AX375" s="48">
        <v>437</v>
      </c>
      <c r="AY375" s="67">
        <v>0</v>
      </c>
      <c r="AZ375" s="67">
        <v>0</v>
      </c>
      <c r="BA375" s="67">
        <v>0</v>
      </c>
      <c r="BB375" s="67">
        <v>0</v>
      </c>
      <c r="BC375" s="77">
        <f t="shared" si="1283"/>
        <v>0</v>
      </c>
      <c r="BD375" s="67">
        <v>0</v>
      </c>
      <c r="BE375" s="67">
        <v>0</v>
      </c>
      <c r="BF375" s="67">
        <v>0</v>
      </c>
      <c r="BG375" s="67">
        <v>0</v>
      </c>
      <c r="BH375" s="77">
        <f t="shared" si="1280"/>
        <v>0</v>
      </c>
      <c r="BI375" s="68">
        <v>0</v>
      </c>
      <c r="BJ375" s="68">
        <v>0</v>
      </c>
      <c r="BK375" s="68">
        <v>0</v>
      </c>
      <c r="BL375" s="68">
        <v>0</v>
      </c>
    </row>
    <row r="376" spans="1:70" s="38" customFormat="1" ht="12.75" customHeight="1">
      <c r="A376" s="41"/>
      <c r="B376" s="41"/>
      <c r="C376" s="38" t="s">
        <v>209</v>
      </c>
      <c r="E376" s="48">
        <v>20</v>
      </c>
      <c r="F376" s="48">
        <v>20</v>
      </c>
      <c r="G376" s="48">
        <v>20</v>
      </c>
      <c r="H376" s="48">
        <v>20</v>
      </c>
      <c r="I376" s="48">
        <v>20</v>
      </c>
      <c r="J376" s="48">
        <v>20</v>
      </c>
      <c r="K376" s="48">
        <v>20</v>
      </c>
      <c r="L376" s="48">
        <v>20</v>
      </c>
      <c r="M376" s="48">
        <v>20</v>
      </c>
      <c r="N376" s="48">
        <v>20</v>
      </c>
      <c r="O376" s="48">
        <v>20</v>
      </c>
      <c r="P376" s="48">
        <v>20</v>
      </c>
      <c r="Q376" s="48">
        <v>20</v>
      </c>
      <c r="R376" s="48">
        <v>20</v>
      </c>
      <c r="S376" s="48">
        <v>70</v>
      </c>
      <c r="T376" s="48">
        <v>65</v>
      </c>
      <c r="U376" s="39">
        <v>-86</v>
      </c>
      <c r="V376" s="39">
        <v>254</v>
      </c>
      <c r="W376" s="39">
        <v>56</v>
      </c>
      <c r="X376" s="38">
        <f t="shared" si="1269"/>
        <v>-126</v>
      </c>
      <c r="Y376" s="48">
        <v>98</v>
      </c>
      <c r="Z376" s="39">
        <v>40</v>
      </c>
      <c r="AA376" s="39">
        <v>54</v>
      </c>
      <c r="AB376" s="39">
        <v>-139</v>
      </c>
      <c r="AC376" s="38">
        <f t="shared" si="1270"/>
        <v>-25</v>
      </c>
      <c r="AD376" s="48">
        <v>-70</v>
      </c>
      <c r="AE376" s="39">
        <v>51</v>
      </c>
      <c r="AF376" s="39">
        <v>-83</v>
      </c>
      <c r="AG376" s="39">
        <v>25</v>
      </c>
      <c r="AH376" s="38">
        <f t="shared" si="1271"/>
        <v>50</v>
      </c>
      <c r="AI376" s="48">
        <v>43</v>
      </c>
      <c r="AJ376" s="39">
        <v>-27</v>
      </c>
      <c r="AK376" s="39">
        <v>33</v>
      </c>
      <c r="AL376" s="39">
        <v>21</v>
      </c>
      <c r="AM376" s="38">
        <f t="shared" si="1272"/>
        <v>-75</v>
      </c>
      <c r="AN376" s="48">
        <v>-48</v>
      </c>
      <c r="AO376" s="39">
        <v>-4</v>
      </c>
      <c r="AP376" s="39">
        <v>67</v>
      </c>
      <c r="AQ376" s="39">
        <v>-81</v>
      </c>
      <c r="AR376" s="38">
        <f t="shared" si="1273"/>
        <v>4</v>
      </c>
      <c r="AS376" s="48">
        <v>-14</v>
      </c>
      <c r="AT376" s="39">
        <v>7</v>
      </c>
      <c r="AU376" s="39">
        <v>21</v>
      </c>
      <c r="AV376" s="39">
        <v>15</v>
      </c>
      <c r="AW376" s="38">
        <f t="shared" si="1274"/>
        <v>-31</v>
      </c>
      <c r="AX376" s="48">
        <v>12</v>
      </c>
      <c r="AY376" s="67">
        <f t="shared" ref="AY376:BB378" si="1297">AY26-AX26</f>
        <v>5.7343261048824843</v>
      </c>
      <c r="AZ376" s="67">
        <f t="shared" si="1297"/>
        <v>3.9183911074043181</v>
      </c>
      <c r="BA376" s="67">
        <f t="shared" si="1297"/>
        <v>4.8310526822501743</v>
      </c>
      <c r="BB376" s="67">
        <f t="shared" si="1297"/>
        <v>5.1980614725678151</v>
      </c>
      <c r="BC376" s="77">
        <f t="shared" si="1283"/>
        <v>19.681831367104792</v>
      </c>
      <c r="BD376" s="67">
        <f t="shared" ref="BD376:BG378" si="1298">BD26-BC26</f>
        <v>3.7773558541767898</v>
      </c>
      <c r="BE376" s="67">
        <f t="shared" si="1298"/>
        <v>4.4925611429381433</v>
      </c>
      <c r="BF376" s="67">
        <f t="shared" si="1298"/>
        <v>5.1027405268341681</v>
      </c>
      <c r="BG376" s="67">
        <f t="shared" si="1298"/>
        <v>4.2009791033931378</v>
      </c>
      <c r="BH376" s="77">
        <f t="shared" si="1280"/>
        <v>17.573636627342239</v>
      </c>
      <c r="BI376" s="68">
        <f t="shared" ref="BI376:BL378" si="1299">BI26-BH26</f>
        <v>20.175214537811144</v>
      </c>
      <c r="BJ376" s="68">
        <f t="shared" si="1299"/>
        <v>15.774626502604292</v>
      </c>
      <c r="BK376" s="68">
        <f t="shared" si="1299"/>
        <v>18.644106180697463</v>
      </c>
      <c r="BL376" s="68">
        <f t="shared" si="1299"/>
        <v>19.016988304311326</v>
      </c>
    </row>
    <row r="377" spans="1:70" s="38" customFormat="1" ht="12.75" customHeight="1">
      <c r="A377" s="41"/>
      <c r="B377" s="41"/>
      <c r="C377" s="38" t="s">
        <v>191</v>
      </c>
      <c r="E377" s="48">
        <v>-86</v>
      </c>
      <c r="F377" s="48">
        <v>-86</v>
      </c>
      <c r="G377" s="48">
        <v>-86</v>
      </c>
      <c r="H377" s="48">
        <v>-86</v>
      </c>
      <c r="I377" s="48">
        <v>-86</v>
      </c>
      <c r="J377" s="48">
        <v>-86</v>
      </c>
      <c r="K377" s="48">
        <v>-86</v>
      </c>
      <c r="L377" s="48">
        <v>-86</v>
      </c>
      <c r="M377" s="48">
        <v>-86</v>
      </c>
      <c r="N377" s="48">
        <v>-86</v>
      </c>
      <c r="O377" s="48">
        <v>-86</v>
      </c>
      <c r="P377" s="48">
        <v>-86</v>
      </c>
      <c r="Q377" s="48">
        <v>-86</v>
      </c>
      <c r="R377" s="48">
        <v>-86</v>
      </c>
      <c r="S377" s="48">
        <v>75</v>
      </c>
      <c r="T377" s="48">
        <v>-88</v>
      </c>
      <c r="U377" s="39">
        <v>-59</v>
      </c>
      <c r="V377" s="39">
        <v>-2</v>
      </c>
      <c r="W377" s="39">
        <v>14</v>
      </c>
      <c r="X377" s="38">
        <f t="shared" si="1269"/>
        <v>-14</v>
      </c>
      <c r="Y377" s="48">
        <v>-61</v>
      </c>
      <c r="Z377" s="39">
        <v>62</v>
      </c>
      <c r="AA377" s="39">
        <v>-73</v>
      </c>
      <c r="AB377" s="39">
        <v>-32</v>
      </c>
      <c r="AC377" s="38">
        <f t="shared" si="1270"/>
        <v>-65</v>
      </c>
      <c r="AD377" s="48">
        <v>-108</v>
      </c>
      <c r="AE377" s="39">
        <v>124</v>
      </c>
      <c r="AF377" s="39">
        <v>109</v>
      </c>
      <c r="AG377" s="39">
        <v>-50</v>
      </c>
      <c r="AH377" s="38">
        <f t="shared" si="1271"/>
        <v>-103</v>
      </c>
      <c r="AI377" s="48">
        <v>80</v>
      </c>
      <c r="AJ377" s="39">
        <v>29</v>
      </c>
      <c r="AK377" s="39">
        <v>39</v>
      </c>
      <c r="AL377" s="39">
        <v>-65</v>
      </c>
      <c r="AM377" s="38">
        <f t="shared" si="1272"/>
        <v>-42</v>
      </c>
      <c r="AN377" s="48">
        <v>-39</v>
      </c>
      <c r="AO377" s="39">
        <v>31</v>
      </c>
      <c r="AP377" s="39">
        <v>40</v>
      </c>
      <c r="AQ377" s="39">
        <v>239</v>
      </c>
      <c r="AR377" s="38">
        <f t="shared" si="1273"/>
        <v>14</v>
      </c>
      <c r="AS377" s="48">
        <v>324</v>
      </c>
      <c r="AT377" s="39">
        <v>21</v>
      </c>
      <c r="AU377" s="39">
        <v>117</v>
      </c>
      <c r="AV377" s="39">
        <v>-79</v>
      </c>
      <c r="AW377" s="38">
        <f t="shared" si="1274"/>
        <v>4</v>
      </c>
      <c r="AX377" s="48">
        <v>63</v>
      </c>
      <c r="AY377" s="67">
        <f t="shared" si="1297"/>
        <v>8.2176431142147521</v>
      </c>
      <c r="AZ377" s="67">
        <f t="shared" si="1297"/>
        <v>5.6152962202731942</v>
      </c>
      <c r="BA377" s="67">
        <f t="shared" si="1297"/>
        <v>6.9231965679275618</v>
      </c>
      <c r="BB377" s="67">
        <f t="shared" si="1297"/>
        <v>7.4491428087674194</v>
      </c>
      <c r="BC377" s="77">
        <f t="shared" si="1283"/>
        <v>28.205278711182928</v>
      </c>
      <c r="BD377" s="67">
        <f t="shared" si="1298"/>
        <v>5.4131840005723006</v>
      </c>
      <c r="BE377" s="67">
        <f t="shared" si="1298"/>
        <v>6.4381173072838465</v>
      </c>
      <c r="BF377" s="67">
        <f t="shared" si="1298"/>
        <v>7.3125420122617015</v>
      </c>
      <c r="BG377" s="67">
        <f t="shared" si="1298"/>
        <v>6.0202622541060009</v>
      </c>
      <c r="BH377" s="77">
        <f t="shared" si="1280"/>
        <v>25.18410557422385</v>
      </c>
      <c r="BI377" s="68">
        <f t="shared" si="1299"/>
        <v>28.91232723637404</v>
      </c>
      <c r="BJ377" s="68">
        <f t="shared" si="1299"/>
        <v>22.606013067178083</v>
      </c>
      <c r="BK377" s="68">
        <f t="shared" si="1299"/>
        <v>26.718154491779615</v>
      </c>
      <c r="BL377" s="68">
        <f t="shared" si="1299"/>
        <v>27.252517581614939</v>
      </c>
    </row>
    <row r="378" spans="1:70" s="38" customFormat="1" ht="12.75" customHeight="1">
      <c r="A378" s="41"/>
      <c r="B378" s="41"/>
      <c r="C378" s="38" t="s">
        <v>192</v>
      </c>
      <c r="E378" s="48">
        <v>-23</v>
      </c>
      <c r="F378" s="48">
        <v>-23</v>
      </c>
      <c r="G378" s="48">
        <v>-23</v>
      </c>
      <c r="H378" s="48">
        <v>-23</v>
      </c>
      <c r="I378" s="48">
        <v>-23</v>
      </c>
      <c r="J378" s="48">
        <v>-23</v>
      </c>
      <c r="K378" s="48">
        <v>-23</v>
      </c>
      <c r="L378" s="48">
        <v>-23</v>
      </c>
      <c r="M378" s="48">
        <v>-23</v>
      </c>
      <c r="N378" s="48">
        <v>-23</v>
      </c>
      <c r="O378" s="48">
        <v>-23</v>
      </c>
      <c r="P378" s="48">
        <v>-23</v>
      </c>
      <c r="Q378" s="48">
        <v>-23</v>
      </c>
      <c r="R378" s="48">
        <v>-23</v>
      </c>
      <c r="S378" s="48">
        <v>-8</v>
      </c>
      <c r="T378" s="48">
        <v>14</v>
      </c>
      <c r="U378" s="39">
        <v>-14</v>
      </c>
      <c r="V378" s="39">
        <v>-6</v>
      </c>
      <c r="W378" s="39">
        <v>16</v>
      </c>
      <c r="X378" s="38">
        <f t="shared" si="1269"/>
        <v>-48</v>
      </c>
      <c r="Y378" s="48">
        <v>-52</v>
      </c>
      <c r="Z378" s="39">
        <v>36</v>
      </c>
      <c r="AA378" s="39">
        <v>55</v>
      </c>
      <c r="AB378" s="39">
        <v>-2</v>
      </c>
      <c r="AC378" s="38">
        <f t="shared" si="1270"/>
        <v>-65</v>
      </c>
      <c r="AD378" s="48">
        <v>24</v>
      </c>
      <c r="AE378" s="39">
        <v>30</v>
      </c>
      <c r="AF378" s="39">
        <v>22</v>
      </c>
      <c r="AG378" s="39">
        <v>0</v>
      </c>
      <c r="AH378" s="38">
        <f t="shared" si="1271"/>
        <v>21</v>
      </c>
      <c r="AI378" s="48">
        <v>73</v>
      </c>
      <c r="AJ378" s="39">
        <v>1</v>
      </c>
      <c r="AK378" s="39">
        <v>55</v>
      </c>
      <c r="AL378" s="39">
        <v>-11</v>
      </c>
      <c r="AM378" s="38">
        <f t="shared" si="1272"/>
        <v>-42</v>
      </c>
      <c r="AN378" s="48">
        <v>3</v>
      </c>
      <c r="AO378" s="39">
        <v>21</v>
      </c>
      <c r="AP378" s="39">
        <v>31</v>
      </c>
      <c r="AQ378" s="39">
        <v>12</v>
      </c>
      <c r="AR378" s="38">
        <f t="shared" si="1273"/>
        <v>-46</v>
      </c>
      <c r="AS378" s="48">
        <v>18</v>
      </c>
      <c r="AT378" s="39">
        <v>38</v>
      </c>
      <c r="AU378" s="39">
        <v>-34</v>
      </c>
      <c r="AV378" s="39">
        <v>-1</v>
      </c>
      <c r="AW378" s="38">
        <f t="shared" si="1274"/>
        <v>-38</v>
      </c>
      <c r="AX378" s="48">
        <v>-35</v>
      </c>
      <c r="AY378" s="67">
        <f t="shared" si="1297"/>
        <v>0</v>
      </c>
      <c r="AZ378" s="67">
        <f t="shared" si="1297"/>
        <v>0</v>
      </c>
      <c r="BA378" s="67">
        <f t="shared" si="1297"/>
        <v>0</v>
      </c>
      <c r="BB378" s="67">
        <f t="shared" si="1297"/>
        <v>0</v>
      </c>
      <c r="BC378" s="77">
        <f t="shared" si="1283"/>
        <v>0</v>
      </c>
      <c r="BD378" s="67">
        <f t="shared" si="1298"/>
        <v>0</v>
      </c>
      <c r="BE378" s="67">
        <f t="shared" si="1298"/>
        <v>0</v>
      </c>
      <c r="BF378" s="67">
        <f t="shared" si="1298"/>
        <v>0</v>
      </c>
      <c r="BG378" s="67">
        <f t="shared" si="1298"/>
        <v>0</v>
      </c>
      <c r="BH378" s="77">
        <f t="shared" si="1280"/>
        <v>0</v>
      </c>
      <c r="BI378" s="68">
        <f t="shared" si="1299"/>
        <v>0</v>
      </c>
      <c r="BJ378" s="68">
        <f t="shared" si="1299"/>
        <v>0</v>
      </c>
      <c r="BK378" s="68">
        <f t="shared" si="1299"/>
        <v>0</v>
      </c>
      <c r="BL378" s="68">
        <f t="shared" si="1299"/>
        <v>0</v>
      </c>
    </row>
    <row r="379" spans="1:70" s="38" customFormat="1" ht="12.75" customHeight="1">
      <c r="A379" s="41"/>
      <c r="B379" s="41"/>
      <c r="C379" s="38" t="s">
        <v>91</v>
      </c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>
        <v>-428</v>
      </c>
      <c r="U379" s="39">
        <v>-66</v>
      </c>
      <c r="V379" s="39">
        <v>-129</v>
      </c>
      <c r="W379" s="39">
        <v>-92</v>
      </c>
      <c r="X379" s="38">
        <f t="shared" si="1269"/>
        <v>-88</v>
      </c>
      <c r="Y379" s="48">
        <v>-375</v>
      </c>
      <c r="Z379" s="39">
        <v>-78</v>
      </c>
      <c r="AA379" s="39">
        <v>-82</v>
      </c>
      <c r="AB379" s="39">
        <v>-54</v>
      </c>
      <c r="AC379" s="38">
        <f t="shared" si="1270"/>
        <v>-77</v>
      </c>
      <c r="AD379" s="48">
        <v>-291</v>
      </c>
      <c r="AE379" s="39">
        <v>-80</v>
      </c>
      <c r="AF379" s="39">
        <v>-13</v>
      </c>
      <c r="AG379" s="39">
        <v>-130</v>
      </c>
      <c r="AH379" s="38">
        <f t="shared" si="1271"/>
        <v>-86</v>
      </c>
      <c r="AI379" s="48">
        <v>-309</v>
      </c>
      <c r="AJ379" s="39">
        <v>-84</v>
      </c>
      <c r="AK379" s="39">
        <v>-94</v>
      </c>
      <c r="AL379" s="39">
        <v>-97</v>
      </c>
      <c r="AM379" s="38">
        <f t="shared" si="1272"/>
        <v>-116</v>
      </c>
      <c r="AN379" s="48">
        <v>-391</v>
      </c>
      <c r="AO379" s="39">
        <v>-100</v>
      </c>
      <c r="AP379" s="39">
        <v>-100</v>
      </c>
      <c r="AQ379" s="39">
        <v>-108</v>
      </c>
      <c r="AR379" s="38">
        <f t="shared" si="1273"/>
        <v>-109</v>
      </c>
      <c r="AS379" s="48">
        <v>-417</v>
      </c>
      <c r="AT379" s="39">
        <v>-113</v>
      </c>
      <c r="AU379" s="39">
        <v>-95</v>
      </c>
      <c r="AV379" s="39">
        <v>-96</v>
      </c>
      <c r="AW379" s="38">
        <f t="shared" si="1274"/>
        <v>-99</v>
      </c>
      <c r="AX379" s="48">
        <v>-403</v>
      </c>
      <c r="AY379" s="67">
        <v>0</v>
      </c>
      <c r="AZ379" s="67">
        <v>0</v>
      </c>
      <c r="BA379" s="67">
        <v>0</v>
      </c>
      <c r="BB379" s="67">
        <v>0</v>
      </c>
      <c r="BC379" s="77">
        <f t="shared" si="1283"/>
        <v>0</v>
      </c>
      <c r="BD379" s="67">
        <v>0</v>
      </c>
      <c r="BE379" s="67">
        <v>0</v>
      </c>
      <c r="BF379" s="67">
        <v>0</v>
      </c>
      <c r="BG379" s="67">
        <v>0</v>
      </c>
      <c r="BH379" s="77">
        <f t="shared" si="1280"/>
        <v>0</v>
      </c>
      <c r="BI379" s="68">
        <v>0</v>
      </c>
      <c r="BJ379" s="68">
        <v>0</v>
      </c>
      <c r="BK379" s="68">
        <v>0</v>
      </c>
      <c r="BL379" s="68">
        <v>0</v>
      </c>
    </row>
    <row r="380" spans="1:70" s="38" customFormat="1" ht="12.75" customHeight="1">
      <c r="C380" s="38" t="s">
        <v>194</v>
      </c>
      <c r="D380" s="76"/>
      <c r="E380" s="69">
        <v>-4</v>
      </c>
      <c r="F380" s="69">
        <v>-4</v>
      </c>
      <c r="G380" s="69">
        <v>-4</v>
      </c>
      <c r="H380" s="69">
        <v>-4</v>
      </c>
      <c r="I380" s="69">
        <v>-4</v>
      </c>
      <c r="J380" s="69">
        <v>-4</v>
      </c>
      <c r="K380" s="69">
        <v>-4</v>
      </c>
      <c r="L380" s="69">
        <v>-4</v>
      </c>
      <c r="M380" s="69">
        <v>-4</v>
      </c>
      <c r="N380" s="69">
        <v>-4</v>
      </c>
      <c r="O380" s="69">
        <v>-4</v>
      </c>
      <c r="P380" s="69">
        <v>-4</v>
      </c>
      <c r="Q380" s="69">
        <v>-4</v>
      </c>
      <c r="R380" s="69">
        <v>-4</v>
      </c>
      <c r="S380" s="69">
        <v>0</v>
      </c>
      <c r="T380" s="69">
        <v>-28</v>
      </c>
      <c r="U380" s="70">
        <v>-17</v>
      </c>
      <c r="V380" s="70">
        <v>-38</v>
      </c>
      <c r="W380" s="70">
        <v>-20</v>
      </c>
      <c r="X380" s="65">
        <f t="shared" si="1269"/>
        <v>-1</v>
      </c>
      <c r="Y380" s="69">
        <v>-76</v>
      </c>
      <c r="Z380" s="70">
        <v>-15</v>
      </c>
      <c r="AA380" s="70">
        <v>-12</v>
      </c>
      <c r="AB380" s="70">
        <v>14</v>
      </c>
      <c r="AC380" s="65">
        <f t="shared" si="1270"/>
        <v>-4</v>
      </c>
      <c r="AD380" s="69">
        <v>-17</v>
      </c>
      <c r="AE380" s="70">
        <v>8</v>
      </c>
      <c r="AF380" s="39">
        <v>7</v>
      </c>
      <c r="AG380" s="70">
        <v>23</v>
      </c>
      <c r="AH380" s="65">
        <f t="shared" si="1271"/>
        <v>-19</v>
      </c>
      <c r="AI380" s="69">
        <v>19</v>
      </c>
      <c r="AJ380" s="70">
        <v>-18</v>
      </c>
      <c r="AK380" s="70">
        <v>-7</v>
      </c>
      <c r="AL380" s="70">
        <v>25</v>
      </c>
      <c r="AM380" s="65">
        <f t="shared" si="1272"/>
        <v>-6</v>
      </c>
      <c r="AN380" s="69">
        <v>-6</v>
      </c>
      <c r="AO380" s="70">
        <v>4</v>
      </c>
      <c r="AP380" s="70">
        <v>29</v>
      </c>
      <c r="AQ380" s="70">
        <v>54</v>
      </c>
      <c r="AR380" s="65">
        <f t="shared" si="1273"/>
        <v>65</v>
      </c>
      <c r="AS380" s="69">
        <v>152</v>
      </c>
      <c r="AT380" s="70">
        <v>7</v>
      </c>
      <c r="AU380" s="70">
        <v>7</v>
      </c>
      <c r="AV380" s="70">
        <v>21</v>
      </c>
      <c r="AW380" s="65">
        <f t="shared" si="1274"/>
        <v>-13</v>
      </c>
      <c r="AX380" s="69">
        <v>22</v>
      </c>
      <c r="AY380" s="64">
        <v>0</v>
      </c>
      <c r="AZ380" s="64">
        <v>0</v>
      </c>
      <c r="BA380" s="64">
        <v>0</v>
      </c>
      <c r="BB380" s="64">
        <v>0</v>
      </c>
      <c r="BC380" s="79">
        <f t="shared" si="1283"/>
        <v>0</v>
      </c>
      <c r="BD380" s="64">
        <v>0</v>
      </c>
      <c r="BE380" s="64">
        <v>0</v>
      </c>
      <c r="BF380" s="64">
        <v>0</v>
      </c>
      <c r="BG380" s="64">
        <v>0</v>
      </c>
      <c r="BH380" s="79">
        <f t="shared" si="1280"/>
        <v>0</v>
      </c>
      <c r="BI380" s="72">
        <v>0</v>
      </c>
      <c r="BJ380" s="72">
        <v>0</v>
      </c>
      <c r="BK380" s="72">
        <v>0</v>
      </c>
      <c r="BL380" s="72">
        <v>0</v>
      </c>
    </row>
    <row r="381" spans="1:70" s="41" customFormat="1" ht="12.75" customHeight="1">
      <c r="C381" s="41" t="s">
        <v>26</v>
      </c>
      <c r="E381" s="49">
        <f t="shared" ref="E381:Q381" si="1300">SUM(E355:E380)</f>
        <v>2394</v>
      </c>
      <c r="F381" s="49">
        <f t="shared" si="1300"/>
        <v>2394</v>
      </c>
      <c r="G381" s="49">
        <f t="shared" si="1300"/>
        <v>2394</v>
      </c>
      <c r="H381" s="49">
        <f t="shared" si="1300"/>
        <v>2394</v>
      </c>
      <c r="I381" s="49">
        <f t="shared" si="1300"/>
        <v>2394</v>
      </c>
      <c r="J381" s="49">
        <f t="shared" si="1300"/>
        <v>2394</v>
      </c>
      <c r="K381" s="49">
        <f t="shared" si="1300"/>
        <v>2394</v>
      </c>
      <c r="L381" s="49">
        <f t="shared" si="1300"/>
        <v>2394</v>
      </c>
      <c r="M381" s="49">
        <f t="shared" si="1300"/>
        <v>2394</v>
      </c>
      <c r="N381" s="49">
        <f t="shared" si="1300"/>
        <v>2394</v>
      </c>
      <c r="O381" s="49">
        <f t="shared" si="1300"/>
        <v>2394</v>
      </c>
      <c r="P381" s="49">
        <f t="shared" si="1300"/>
        <v>2394</v>
      </c>
      <c r="Q381" s="49">
        <f t="shared" si="1300"/>
        <v>2394</v>
      </c>
      <c r="R381" s="49">
        <f t="shared" ref="R381:BL381" si="1301">SUM(R355:R380)</f>
        <v>2394</v>
      </c>
      <c r="S381" s="49">
        <f t="shared" si="1301"/>
        <v>2556</v>
      </c>
      <c r="T381" s="49">
        <f t="shared" si="1301"/>
        <v>2900</v>
      </c>
      <c r="U381" s="60">
        <f t="shared" si="1301"/>
        <v>449</v>
      </c>
      <c r="V381" s="60">
        <f t="shared" si="1301"/>
        <v>177</v>
      </c>
      <c r="W381" s="60">
        <f t="shared" si="1301"/>
        <v>302</v>
      </c>
      <c r="X381" s="60">
        <f t="shared" si="1301"/>
        <v>25</v>
      </c>
      <c r="Y381" s="49">
        <f t="shared" si="1301"/>
        <v>953</v>
      </c>
      <c r="Z381" s="60">
        <f t="shared" si="1301"/>
        <v>200</v>
      </c>
      <c r="AA381" s="60">
        <f t="shared" si="1301"/>
        <v>265</v>
      </c>
      <c r="AB381" s="60">
        <f t="shared" si="1301"/>
        <v>743</v>
      </c>
      <c r="AC381" s="60">
        <f t="shared" si="1301"/>
        <v>598</v>
      </c>
      <c r="AD381" s="49">
        <f t="shared" si="1301"/>
        <v>1806</v>
      </c>
      <c r="AE381" s="60">
        <f t="shared" si="1301"/>
        <v>621</v>
      </c>
      <c r="AF381" s="60">
        <f t="shared" si="1301"/>
        <v>708</v>
      </c>
      <c r="AG381" s="60">
        <f t="shared" si="1301"/>
        <v>932</v>
      </c>
      <c r="AH381" s="60">
        <f t="shared" si="1301"/>
        <v>277</v>
      </c>
      <c r="AI381" s="49">
        <f t="shared" si="1301"/>
        <v>2538</v>
      </c>
      <c r="AJ381" s="60">
        <f t="shared" si="1301"/>
        <v>562</v>
      </c>
      <c r="AK381" s="60">
        <f t="shared" si="1301"/>
        <v>497</v>
      </c>
      <c r="AL381" s="60">
        <f t="shared" si="1301"/>
        <v>851</v>
      </c>
      <c r="AM381" s="60">
        <f t="shared" si="1301"/>
        <v>564</v>
      </c>
      <c r="AN381" s="49">
        <f t="shared" si="1301"/>
        <v>2474</v>
      </c>
      <c r="AO381" s="60">
        <f t="shared" si="1301"/>
        <v>370</v>
      </c>
      <c r="AP381" s="60">
        <f t="shared" si="1301"/>
        <v>546</v>
      </c>
      <c r="AQ381" s="60">
        <f t="shared" si="1301"/>
        <v>894</v>
      </c>
      <c r="AR381" s="60">
        <f t="shared" si="1301"/>
        <v>414</v>
      </c>
      <c r="AS381" s="49">
        <f t="shared" si="1301"/>
        <v>2224</v>
      </c>
      <c r="AT381" s="60">
        <f t="shared" si="1301"/>
        <v>251</v>
      </c>
      <c r="AU381" s="60">
        <f t="shared" si="1301"/>
        <v>346</v>
      </c>
      <c r="AV381" s="60">
        <f t="shared" si="1301"/>
        <v>835</v>
      </c>
      <c r="AW381" s="60">
        <f t="shared" si="1301"/>
        <v>193</v>
      </c>
      <c r="AX381" s="49">
        <f t="shared" si="1301"/>
        <v>1625</v>
      </c>
      <c r="AY381" s="60">
        <f t="shared" ca="1" si="1301"/>
        <v>224.1762260363877</v>
      </c>
      <c r="AZ381" s="60">
        <f t="shared" ca="1" si="1301"/>
        <v>435.93306943214509</v>
      </c>
      <c r="BA381" s="60">
        <f t="shared" ca="1" si="1301"/>
        <v>675.49921204796146</v>
      </c>
      <c r="BB381" s="60">
        <f t="shared" ca="1" si="1301"/>
        <v>326.79377153977379</v>
      </c>
      <c r="BC381" s="49">
        <f t="shared" ca="1" si="1301"/>
        <v>1662.4022790562676</v>
      </c>
      <c r="BD381" s="60">
        <f t="shared" ref="BD381:BH381" ca="1" si="1302">SUM(BD355:BD380)</f>
        <v>284.36835542699896</v>
      </c>
      <c r="BE381" s="60">
        <f t="shared" ca="1" si="1302"/>
        <v>500.99239910861644</v>
      </c>
      <c r="BF381" s="60">
        <f t="shared" ca="1" si="1302"/>
        <v>747.19948018023763</v>
      </c>
      <c r="BG381" s="60">
        <f t="shared" ca="1" si="1302"/>
        <v>392.31390563980602</v>
      </c>
      <c r="BH381" s="49">
        <f t="shared" ca="1" si="1302"/>
        <v>1924.8741403556589</v>
      </c>
      <c r="BI381" s="49">
        <f t="shared" ca="1" si="1301"/>
        <v>2277.974491651662</v>
      </c>
      <c r="BJ381" s="49">
        <f t="shared" ca="1" si="1301"/>
        <v>2644.3935697888537</v>
      </c>
      <c r="BK381" s="49">
        <f t="shared" ca="1" si="1301"/>
        <v>3053.6466682499922</v>
      </c>
      <c r="BL381" s="49">
        <f t="shared" ca="1" si="1301"/>
        <v>3500.0150472372416</v>
      </c>
    </row>
    <row r="382" spans="1:70" s="76" customFormat="1" ht="12.75" customHeight="1"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172"/>
      <c r="U382" s="78"/>
      <c r="V382" s="78"/>
      <c r="W382" s="78"/>
      <c r="X382" s="78"/>
      <c r="Y382" s="172"/>
      <c r="Z382" s="78"/>
      <c r="AA382" s="78"/>
      <c r="AB382" s="78"/>
      <c r="AC382" s="78"/>
      <c r="AD382" s="172"/>
      <c r="AE382" s="78"/>
      <c r="AF382" s="78"/>
      <c r="AG382" s="78"/>
      <c r="AH382" s="78"/>
      <c r="AI382" s="172"/>
      <c r="AJ382" s="78"/>
      <c r="AK382" s="78"/>
      <c r="AL382" s="78"/>
      <c r="AM382" s="78"/>
      <c r="AN382" s="77"/>
      <c r="AO382" s="78"/>
      <c r="AP382" s="78"/>
      <c r="AQ382" s="78"/>
      <c r="AR382" s="78"/>
      <c r="AS382" s="77"/>
      <c r="AT382" s="78"/>
      <c r="AU382" s="78"/>
      <c r="AV382" s="78"/>
      <c r="AW382" s="78"/>
      <c r="AX382" s="77"/>
      <c r="AY382" s="78"/>
      <c r="AZ382" s="78"/>
      <c r="BA382" s="78"/>
      <c r="BB382" s="78"/>
      <c r="BC382" s="77"/>
      <c r="BD382" s="78"/>
      <c r="BE382" s="78"/>
      <c r="BF382" s="78"/>
      <c r="BG382" s="78"/>
      <c r="BH382" s="77"/>
      <c r="BI382" s="77"/>
      <c r="BJ382" s="77"/>
      <c r="BK382" s="77"/>
      <c r="BL382" s="77"/>
    </row>
    <row r="383" spans="1:70" s="76" customFormat="1" ht="12.75" customHeight="1">
      <c r="C383" s="96" t="s">
        <v>210</v>
      </c>
      <c r="E383" s="48">
        <v>-10596</v>
      </c>
      <c r="F383" s="48">
        <v>-10596</v>
      </c>
      <c r="G383" s="48">
        <v>-10596</v>
      </c>
      <c r="H383" s="48">
        <v>-10596</v>
      </c>
      <c r="I383" s="48">
        <v>-10596</v>
      </c>
      <c r="J383" s="48">
        <v>-10596</v>
      </c>
      <c r="K383" s="48">
        <v>-10596</v>
      </c>
      <c r="L383" s="48">
        <v>-10596</v>
      </c>
      <c r="M383" s="48">
        <v>-10596</v>
      </c>
      <c r="N383" s="48">
        <v>-10596</v>
      </c>
      <c r="O383" s="48">
        <v>-10596</v>
      </c>
      <c r="P383" s="48">
        <v>-10596</v>
      </c>
      <c r="Q383" s="48">
        <v>-10596</v>
      </c>
      <c r="R383" s="48">
        <v>-10596</v>
      </c>
      <c r="S383" s="48">
        <v>-12493</v>
      </c>
      <c r="T383" s="48">
        <v>-13714</v>
      </c>
      <c r="U383" s="39">
        <v>-4346</v>
      </c>
      <c r="V383" s="39">
        <v>-610</v>
      </c>
      <c r="W383" s="39">
        <v>-232</v>
      </c>
      <c r="X383" s="38">
        <f t="shared" ref="X383:X390" si="1303">Y383-SUM(U383:W383)</f>
        <v>-354</v>
      </c>
      <c r="Y383" s="48">
        <v>-5542</v>
      </c>
      <c r="Z383" s="39">
        <v>-1517</v>
      </c>
      <c r="AA383" s="39">
        <v>-2619</v>
      </c>
      <c r="AB383" s="39">
        <v>-1060</v>
      </c>
      <c r="AC383" s="38">
        <f t="shared" ref="AC383:AC390" si="1304">AD383-SUM(Z383:AB383)</f>
        <v>-1958</v>
      </c>
      <c r="AD383" s="48">
        <v>-7154</v>
      </c>
      <c r="AE383" s="39">
        <v>-2985</v>
      </c>
      <c r="AF383" s="39">
        <v>-3104</v>
      </c>
      <c r="AG383" s="39">
        <v>-1764</v>
      </c>
      <c r="AH383" s="38">
        <f t="shared" ref="AH383:AH390" si="1305">AI383-SUM(AE383:AG383)</f>
        <v>-2743</v>
      </c>
      <c r="AI383" s="48">
        <v>-10596</v>
      </c>
      <c r="AJ383" s="39">
        <v>-2824</v>
      </c>
      <c r="AK383" s="39">
        <v>-3719</v>
      </c>
      <c r="AL383" s="39">
        <v>-1769</v>
      </c>
      <c r="AM383" s="38">
        <f t="shared" ref="AM383:AM390" si="1306">AN383-SUM(AJ383:AL383)</f>
        <v>-1202</v>
      </c>
      <c r="AN383" s="48">
        <v>-9514</v>
      </c>
      <c r="AO383" s="39">
        <v>-1904</v>
      </c>
      <c r="AP383" s="39">
        <v>-3723</v>
      </c>
      <c r="AQ383" s="39">
        <v>-2231</v>
      </c>
      <c r="AR383" s="38">
        <f>AS383-SUM(AO383:AQ383)</f>
        <v>-2666</v>
      </c>
      <c r="AS383" s="48">
        <v>-10524</v>
      </c>
      <c r="AT383" s="39">
        <v>-2847</v>
      </c>
      <c r="AU383" s="39">
        <v>-3049</v>
      </c>
      <c r="AV383" s="39">
        <v>-1903</v>
      </c>
      <c r="AW383" s="38">
        <f>AX383-SUM(AT383:AV383)</f>
        <v>-2384</v>
      </c>
      <c r="AX383" s="48">
        <v>-10183</v>
      </c>
      <c r="AY383" s="67">
        <v>-2000</v>
      </c>
      <c r="AZ383" s="67">
        <v>-2000</v>
      </c>
      <c r="BA383" s="67">
        <v>-2000</v>
      </c>
      <c r="BB383" s="67">
        <v>-2000</v>
      </c>
      <c r="BC383" s="77">
        <f>SUM(AY383:BB383)</f>
        <v>-8000</v>
      </c>
      <c r="BD383" s="67">
        <v>-2000</v>
      </c>
      <c r="BE383" s="67">
        <v>-2000</v>
      </c>
      <c r="BF383" s="67">
        <v>-2000</v>
      </c>
      <c r="BG383" s="67">
        <v>-2000</v>
      </c>
      <c r="BH383" s="77">
        <f>SUM(BD383:BG383)</f>
        <v>-8000</v>
      </c>
      <c r="BI383" s="68">
        <f>BH383</f>
        <v>-8000</v>
      </c>
      <c r="BJ383" s="68">
        <f t="shared" ref="BJ383:BL383" si="1307">BI383</f>
        <v>-8000</v>
      </c>
      <c r="BK383" s="68">
        <f t="shared" si="1307"/>
        <v>-8000</v>
      </c>
      <c r="BL383" s="68">
        <f t="shared" si="1307"/>
        <v>-8000</v>
      </c>
      <c r="BP383" s="38"/>
      <c r="BQ383" s="38"/>
      <c r="BR383" s="38"/>
    </row>
    <row r="384" spans="1:70" s="76" customFormat="1" ht="12.75" customHeight="1">
      <c r="C384" s="96" t="s">
        <v>211</v>
      </c>
      <c r="E384" s="48">
        <v>7653</v>
      </c>
      <c r="F384" s="48">
        <v>7653</v>
      </c>
      <c r="G384" s="48">
        <v>7653</v>
      </c>
      <c r="H384" s="48">
        <v>7653</v>
      </c>
      <c r="I384" s="48">
        <v>7653</v>
      </c>
      <c r="J384" s="48">
        <v>7653</v>
      </c>
      <c r="K384" s="48">
        <v>7653</v>
      </c>
      <c r="L384" s="48">
        <v>7653</v>
      </c>
      <c r="M384" s="48">
        <v>7653</v>
      </c>
      <c r="N384" s="48">
        <v>7653</v>
      </c>
      <c r="O384" s="48">
        <v>7653</v>
      </c>
      <c r="P384" s="48">
        <v>7653</v>
      </c>
      <c r="Q384" s="48">
        <v>7653</v>
      </c>
      <c r="R384" s="48">
        <v>7653</v>
      </c>
      <c r="S384" s="48">
        <v>8452</v>
      </c>
      <c r="T384" s="48">
        <v>9486</v>
      </c>
      <c r="U384" s="39">
        <v>2212</v>
      </c>
      <c r="V384" s="39">
        <v>2793</v>
      </c>
      <c r="W384" s="39">
        <v>3765</v>
      </c>
      <c r="X384" s="38">
        <f t="shared" si="1303"/>
        <v>1328</v>
      </c>
      <c r="Y384" s="48">
        <v>10098</v>
      </c>
      <c r="Z384" s="39">
        <v>686</v>
      </c>
      <c r="AA384" s="39">
        <v>513</v>
      </c>
      <c r="AB384" s="39">
        <v>746</v>
      </c>
      <c r="AC384" s="38">
        <f t="shared" si="1304"/>
        <v>873</v>
      </c>
      <c r="AD384" s="48">
        <v>2818</v>
      </c>
      <c r="AE384" s="39">
        <v>1471</v>
      </c>
      <c r="AF384" s="39">
        <v>1416</v>
      </c>
      <c r="AG384" s="39">
        <v>1583</v>
      </c>
      <c r="AH384" s="38">
        <f t="shared" si="1305"/>
        <v>2028</v>
      </c>
      <c r="AI384" s="48">
        <v>6498</v>
      </c>
      <c r="AJ384" s="39">
        <v>1206</v>
      </c>
      <c r="AK384" s="39">
        <v>1560</v>
      </c>
      <c r="AL384" s="39">
        <v>1412</v>
      </c>
      <c r="AM384" s="38">
        <f t="shared" si="1306"/>
        <v>1320</v>
      </c>
      <c r="AN384" s="48">
        <v>5498</v>
      </c>
      <c r="AO384" s="39">
        <v>1233</v>
      </c>
      <c r="AP384" s="39">
        <v>1669</v>
      </c>
      <c r="AQ384" s="39">
        <v>1754</v>
      </c>
      <c r="AR384" s="38">
        <f>AS384-SUM(AO384:AQ384)</f>
        <v>3022</v>
      </c>
      <c r="AS384" s="48">
        <v>7678</v>
      </c>
      <c r="AT384" s="39">
        <v>2124</v>
      </c>
      <c r="AU384" s="39">
        <v>2126</v>
      </c>
      <c r="AV384" s="39">
        <v>1720</v>
      </c>
      <c r="AW384" s="38">
        <f>AX384-SUM(AT384:AV384)</f>
        <v>2116</v>
      </c>
      <c r="AX384" s="48">
        <v>8086</v>
      </c>
      <c r="AY384" s="67">
        <v>2000</v>
      </c>
      <c r="AZ384" s="67">
        <v>2000</v>
      </c>
      <c r="BA384" s="67">
        <v>2000</v>
      </c>
      <c r="BB384" s="67">
        <v>2000</v>
      </c>
      <c r="BC384" s="77">
        <f>SUM(AY384:BB384)</f>
        <v>8000</v>
      </c>
      <c r="BD384" s="67">
        <v>2000</v>
      </c>
      <c r="BE384" s="67">
        <v>2000</v>
      </c>
      <c r="BF384" s="67">
        <v>2000</v>
      </c>
      <c r="BG384" s="67">
        <v>2000</v>
      </c>
      <c r="BH384" s="77">
        <f>SUM(BD384:BG384)</f>
        <v>8000</v>
      </c>
      <c r="BI384" s="68">
        <f>BH384</f>
        <v>8000</v>
      </c>
      <c r="BJ384" s="68">
        <f t="shared" ref="BJ384:BL384" si="1308">BI384</f>
        <v>8000</v>
      </c>
      <c r="BK384" s="68">
        <f t="shared" si="1308"/>
        <v>8000</v>
      </c>
      <c r="BL384" s="68">
        <f t="shared" si="1308"/>
        <v>8000</v>
      </c>
      <c r="BP384" s="38"/>
      <c r="BQ384" s="38"/>
      <c r="BR384" s="38"/>
    </row>
    <row r="385" spans="3:70" s="76" customFormat="1" ht="12.75" customHeight="1">
      <c r="C385" s="96" t="s">
        <v>212</v>
      </c>
      <c r="E385" s="48">
        <v>-173</v>
      </c>
      <c r="F385" s="48">
        <v>-173</v>
      </c>
      <c r="G385" s="48">
        <v>-173</v>
      </c>
      <c r="H385" s="48">
        <v>-173</v>
      </c>
      <c r="I385" s="48">
        <v>-173</v>
      </c>
      <c r="J385" s="48">
        <v>-173</v>
      </c>
      <c r="K385" s="48">
        <v>-173</v>
      </c>
      <c r="L385" s="48">
        <v>-173</v>
      </c>
      <c r="M385" s="48">
        <v>-173</v>
      </c>
      <c r="N385" s="48">
        <v>-173</v>
      </c>
      <c r="O385" s="48">
        <v>-173</v>
      </c>
      <c r="P385" s="48">
        <v>-173</v>
      </c>
      <c r="Q385" s="48">
        <v>-173</v>
      </c>
      <c r="R385" s="48">
        <v>-173</v>
      </c>
      <c r="S385" s="48">
        <v>-177</v>
      </c>
      <c r="T385" s="48">
        <v>-224</v>
      </c>
      <c r="U385" s="39">
        <v>-59</v>
      </c>
      <c r="V385" s="39">
        <v>-13</v>
      </c>
      <c r="W385" s="39">
        <v>-17</v>
      </c>
      <c r="X385" s="38">
        <f t="shared" si="1303"/>
        <v>-9</v>
      </c>
      <c r="Y385" s="48">
        <v>-98</v>
      </c>
      <c r="Z385" s="39">
        <v>-9</v>
      </c>
      <c r="AA385" s="39">
        <v>-8</v>
      </c>
      <c r="AB385" s="39">
        <v>-24</v>
      </c>
      <c r="AC385" s="38">
        <f t="shared" si="1304"/>
        <v>-30</v>
      </c>
      <c r="AD385" s="48">
        <v>-71</v>
      </c>
      <c r="AE385" s="39">
        <v>-30</v>
      </c>
      <c r="AF385" s="39">
        <v>-29</v>
      </c>
      <c r="AG385" s="39">
        <v>-45</v>
      </c>
      <c r="AH385" s="38">
        <f t="shared" si="1305"/>
        <v>-46</v>
      </c>
      <c r="AI385" s="48">
        <v>-150</v>
      </c>
      <c r="AJ385" s="39">
        <v>-45</v>
      </c>
      <c r="AK385" s="39">
        <v>-78</v>
      </c>
      <c r="AL385" s="39">
        <v>-28</v>
      </c>
      <c r="AM385" s="38">
        <f t="shared" si="1306"/>
        <v>-37</v>
      </c>
      <c r="AN385" s="48">
        <v>-188</v>
      </c>
      <c r="AO385" s="39">
        <v>-33</v>
      </c>
      <c r="AP385" s="39">
        <v>-26</v>
      </c>
      <c r="AQ385" s="39">
        <v>-22</v>
      </c>
      <c r="AR385" s="38">
        <f>AS385-SUM(AO385:AQ385)</f>
        <v>-24</v>
      </c>
      <c r="AS385" s="48">
        <v>-105</v>
      </c>
      <c r="AT385" s="39">
        <v>-22</v>
      </c>
      <c r="AU385" s="39">
        <v>-22</v>
      </c>
      <c r="AV385" s="39">
        <v>-26</v>
      </c>
      <c r="AW385" s="38">
        <f>AX385-SUM(AT385:AV385)</f>
        <v>-27</v>
      </c>
      <c r="AX385" s="48">
        <v>-97</v>
      </c>
      <c r="AY385" s="67">
        <v>-25</v>
      </c>
      <c r="AZ385" s="67">
        <v>-25</v>
      </c>
      <c r="BA385" s="67">
        <v>-25</v>
      </c>
      <c r="BB385" s="67">
        <v>-25</v>
      </c>
      <c r="BC385" s="77">
        <f>SUM(AY385:BB385)</f>
        <v>-100</v>
      </c>
      <c r="BD385" s="67">
        <v>-25</v>
      </c>
      <c r="BE385" s="67">
        <v>-25</v>
      </c>
      <c r="BF385" s="67">
        <v>-25</v>
      </c>
      <c r="BG385" s="67">
        <v>-25</v>
      </c>
      <c r="BH385" s="77">
        <f>SUM(BD385:BG385)</f>
        <v>-100</v>
      </c>
      <c r="BI385" s="68">
        <f>BH385</f>
        <v>-100</v>
      </c>
      <c r="BJ385" s="68">
        <f t="shared" ref="BJ385:BL385" si="1309">BI385</f>
        <v>-100</v>
      </c>
      <c r="BK385" s="68">
        <f t="shared" si="1309"/>
        <v>-100</v>
      </c>
      <c r="BL385" s="68">
        <f t="shared" si="1309"/>
        <v>-100</v>
      </c>
      <c r="BP385" s="38"/>
      <c r="BQ385" s="38"/>
      <c r="BR385" s="38"/>
    </row>
    <row r="386" spans="3:70" s="76" customFormat="1" ht="12.75" customHeight="1">
      <c r="C386" s="96" t="s">
        <v>213</v>
      </c>
      <c r="E386" s="48">
        <v>21</v>
      </c>
      <c r="F386" s="48">
        <v>21</v>
      </c>
      <c r="G386" s="48">
        <v>21</v>
      </c>
      <c r="H386" s="48">
        <v>21</v>
      </c>
      <c r="I386" s="48">
        <v>21</v>
      </c>
      <c r="J386" s="48">
        <v>21</v>
      </c>
      <c r="K386" s="48">
        <v>21</v>
      </c>
      <c r="L386" s="48">
        <v>21</v>
      </c>
      <c r="M386" s="48">
        <v>21</v>
      </c>
      <c r="N386" s="48">
        <v>21</v>
      </c>
      <c r="O386" s="48">
        <v>21</v>
      </c>
      <c r="P386" s="48">
        <v>21</v>
      </c>
      <c r="Q386" s="48">
        <v>21</v>
      </c>
      <c r="R386" s="48">
        <v>21</v>
      </c>
      <c r="S386" s="48">
        <v>51</v>
      </c>
      <c r="T386" s="48">
        <v>27</v>
      </c>
      <c r="U386" s="39">
        <v>23</v>
      </c>
      <c r="V386" s="39">
        <v>27</v>
      </c>
      <c r="W386" s="39">
        <v>6</v>
      </c>
      <c r="X386" s="38">
        <f t="shared" si="1303"/>
        <v>4</v>
      </c>
      <c r="Y386" s="48">
        <v>60</v>
      </c>
      <c r="Z386" s="39">
        <v>4</v>
      </c>
      <c r="AA386" s="39">
        <v>6</v>
      </c>
      <c r="AB386" s="39">
        <v>7</v>
      </c>
      <c r="AC386" s="38">
        <f t="shared" si="1304"/>
        <v>-1</v>
      </c>
      <c r="AD386" s="48">
        <v>16</v>
      </c>
      <c r="AE386" s="39">
        <v>1</v>
      </c>
      <c r="AF386" s="39">
        <v>5</v>
      </c>
      <c r="AG386" s="39">
        <v>4</v>
      </c>
      <c r="AH386" s="38">
        <f t="shared" si="1305"/>
        <v>2</v>
      </c>
      <c r="AI386" s="48">
        <v>12</v>
      </c>
      <c r="AJ386" s="39">
        <v>175</v>
      </c>
      <c r="AK386" s="39">
        <v>1</v>
      </c>
      <c r="AL386" s="39">
        <v>2</v>
      </c>
      <c r="AM386" s="38">
        <f t="shared" si="1306"/>
        <v>3</v>
      </c>
      <c r="AN386" s="48">
        <v>181</v>
      </c>
      <c r="AO386" s="39">
        <v>3</v>
      </c>
      <c r="AP386" s="39">
        <v>4</v>
      </c>
      <c r="AQ386" s="39">
        <v>12</v>
      </c>
      <c r="AR386" s="38">
        <f>AS386-SUM(AO386:AQ386)</f>
        <v>4</v>
      </c>
      <c r="AS386" s="48">
        <v>23</v>
      </c>
      <c r="AT386" s="39">
        <v>27</v>
      </c>
      <c r="AU386" s="39">
        <v>99</v>
      </c>
      <c r="AV386" s="39">
        <v>51</v>
      </c>
      <c r="AW386" s="38">
        <f>AX386-SUM(AT386:AV386)</f>
        <v>23</v>
      </c>
      <c r="AX386" s="48">
        <v>200</v>
      </c>
      <c r="AY386" s="67"/>
      <c r="AZ386" s="67"/>
      <c r="BA386" s="67"/>
      <c r="BB386" s="67"/>
      <c r="BC386" s="77"/>
      <c r="BD386" s="67"/>
      <c r="BE386" s="67"/>
      <c r="BF386" s="67"/>
      <c r="BG386" s="67"/>
      <c r="BH386" s="77"/>
      <c r="BI386" s="68"/>
      <c r="BJ386" s="68"/>
      <c r="BK386" s="68"/>
      <c r="BL386" s="68"/>
      <c r="BP386" s="38"/>
      <c r="BQ386" s="38"/>
      <c r="BR386" s="38"/>
    </row>
    <row r="387" spans="3:70" s="76" customFormat="1" ht="12.75" customHeight="1">
      <c r="C387" s="96" t="s">
        <v>236</v>
      </c>
      <c r="E387" s="48">
        <v>9</v>
      </c>
      <c r="F387" s="48">
        <v>9</v>
      </c>
      <c r="G387" s="48">
        <v>9</v>
      </c>
      <c r="H387" s="48">
        <v>9</v>
      </c>
      <c r="I387" s="48">
        <v>9</v>
      </c>
      <c r="J387" s="48">
        <v>9</v>
      </c>
      <c r="K387" s="48">
        <v>9</v>
      </c>
      <c r="L387" s="48">
        <v>9</v>
      </c>
      <c r="M387" s="48">
        <v>9</v>
      </c>
      <c r="N387" s="48">
        <v>9</v>
      </c>
      <c r="O387" s="48">
        <v>9</v>
      </c>
      <c r="P387" s="48">
        <v>9</v>
      </c>
      <c r="Q387" s="48">
        <v>9</v>
      </c>
      <c r="R387" s="48">
        <v>9</v>
      </c>
      <c r="S387" s="48">
        <v>-24</v>
      </c>
      <c r="T387" s="48">
        <v>0</v>
      </c>
      <c r="U387" s="39">
        <v>74</v>
      </c>
      <c r="V387" s="39">
        <v>0</v>
      </c>
      <c r="W387" s="39">
        <v>0</v>
      </c>
      <c r="X387" s="38">
        <f t="shared" si="1303"/>
        <v>0</v>
      </c>
      <c r="Y387" s="48">
        <v>74</v>
      </c>
      <c r="Z387" s="39"/>
      <c r="AA387" s="39"/>
      <c r="AB387" s="39"/>
      <c r="AC387" s="38">
        <f t="shared" si="1304"/>
        <v>0</v>
      </c>
      <c r="AD387" s="48">
        <v>0</v>
      </c>
      <c r="AE387" s="39"/>
      <c r="AF387" s="39"/>
      <c r="AG387" s="39"/>
      <c r="AH387" s="38">
        <f t="shared" si="1305"/>
        <v>0</v>
      </c>
      <c r="AI387" s="48">
        <v>0</v>
      </c>
      <c r="AJ387" s="39"/>
      <c r="AK387" s="39"/>
      <c r="AL387" s="39"/>
      <c r="AM387" s="38">
        <f t="shared" si="1306"/>
        <v>0</v>
      </c>
      <c r="AN387" s="48"/>
      <c r="AO387" s="39"/>
      <c r="AP387" s="39"/>
      <c r="AQ387" s="39"/>
      <c r="AR387" s="38"/>
      <c r="AS387" s="48"/>
      <c r="AT387" s="39"/>
      <c r="AU387" s="39"/>
      <c r="AV387" s="39"/>
      <c r="AW387" s="38"/>
      <c r="AX387" s="48"/>
      <c r="AY387" s="67"/>
      <c r="AZ387" s="67"/>
      <c r="BA387" s="67"/>
      <c r="BB387" s="67"/>
      <c r="BC387" s="77"/>
      <c r="BD387" s="67"/>
      <c r="BE387" s="67"/>
      <c r="BF387" s="67"/>
      <c r="BG387" s="67"/>
      <c r="BH387" s="77"/>
      <c r="BI387" s="68"/>
      <c r="BJ387" s="68"/>
      <c r="BK387" s="68"/>
      <c r="BL387" s="68"/>
      <c r="BP387" s="38"/>
      <c r="BQ387" s="38"/>
      <c r="BR387" s="38"/>
    </row>
    <row r="388" spans="3:70" s="76" customFormat="1" ht="12.75" customHeight="1">
      <c r="C388" s="96" t="s">
        <v>227</v>
      </c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39">
        <v>0</v>
      </c>
      <c r="V388" s="39">
        <v>0</v>
      </c>
      <c r="W388" s="39">
        <v>0</v>
      </c>
      <c r="X388" s="38">
        <f t="shared" si="1303"/>
        <v>0</v>
      </c>
      <c r="Y388" s="48">
        <v>0</v>
      </c>
      <c r="Z388" s="39"/>
      <c r="AA388" s="39">
        <v>-303</v>
      </c>
      <c r="AB388" s="39">
        <v>0</v>
      </c>
      <c r="AC388" s="38">
        <f t="shared" si="1304"/>
        <v>0</v>
      </c>
      <c r="AD388" s="48">
        <v>-303</v>
      </c>
      <c r="AE388" s="39"/>
      <c r="AF388" s="39">
        <v>0</v>
      </c>
      <c r="AG388" s="39">
        <v>0</v>
      </c>
      <c r="AH388" s="38">
        <f t="shared" si="1305"/>
        <v>0</v>
      </c>
      <c r="AI388" s="48">
        <v>0</v>
      </c>
      <c r="AJ388" s="39"/>
      <c r="AK388" s="39"/>
      <c r="AL388" s="39"/>
      <c r="AM388" s="38">
        <f t="shared" si="1306"/>
        <v>0</v>
      </c>
      <c r="AN388" s="48"/>
      <c r="AO388" s="39"/>
      <c r="AP388" s="39"/>
      <c r="AQ388" s="39"/>
      <c r="AR388" s="38"/>
      <c r="AS388" s="48"/>
      <c r="AT388" s="39"/>
      <c r="AU388" s="39"/>
      <c r="AV388" s="39"/>
      <c r="AW388" s="38"/>
      <c r="AX388" s="48"/>
      <c r="AY388" s="67"/>
      <c r="AZ388" s="67"/>
      <c r="BA388" s="67"/>
      <c r="BB388" s="67"/>
      <c r="BC388" s="77"/>
      <c r="BD388" s="67"/>
      <c r="BE388" s="67"/>
      <c r="BF388" s="67"/>
      <c r="BG388" s="67"/>
      <c r="BH388" s="77"/>
      <c r="BI388" s="68"/>
      <c r="BJ388" s="68"/>
      <c r="BK388" s="68"/>
      <c r="BL388" s="68"/>
      <c r="BP388" s="38"/>
      <c r="BQ388" s="38"/>
      <c r="BR388" s="38"/>
    </row>
    <row r="389" spans="3:70" s="76" customFormat="1" ht="12.75" customHeight="1">
      <c r="C389" s="96" t="s">
        <v>223</v>
      </c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39">
        <v>0</v>
      </c>
      <c r="V389" s="39">
        <v>0</v>
      </c>
      <c r="W389" s="39">
        <v>0</v>
      </c>
      <c r="X389" s="38">
        <f t="shared" si="1303"/>
        <v>0</v>
      </c>
      <c r="Y389" s="48">
        <v>0</v>
      </c>
      <c r="Z389" s="39">
        <v>0</v>
      </c>
      <c r="AA389" s="39">
        <v>114</v>
      </c>
      <c r="AB389" s="39">
        <v>154</v>
      </c>
      <c r="AC389" s="38">
        <f t="shared" si="1304"/>
        <v>12</v>
      </c>
      <c r="AD389" s="48">
        <v>280</v>
      </c>
      <c r="AE389" s="39">
        <v>17</v>
      </c>
      <c r="AF389" s="39">
        <v>2</v>
      </c>
      <c r="AG389" s="39">
        <v>0</v>
      </c>
      <c r="AH389" s="38">
        <f t="shared" si="1305"/>
        <v>0</v>
      </c>
      <c r="AI389" s="48">
        <v>19</v>
      </c>
      <c r="AJ389" s="39"/>
      <c r="AK389" s="39"/>
      <c r="AL389" s="39"/>
      <c r="AM389" s="38">
        <f t="shared" si="1306"/>
        <v>0</v>
      </c>
      <c r="AN389" s="48"/>
      <c r="AO389" s="39"/>
      <c r="AP389" s="39"/>
      <c r="AQ389" s="39"/>
      <c r="AR389" s="38"/>
      <c r="AS389" s="48"/>
      <c r="AT389" s="39"/>
      <c r="AU389" s="39"/>
      <c r="AV389" s="39"/>
      <c r="AW389" s="38"/>
      <c r="AX389" s="48"/>
      <c r="AY389" s="67"/>
      <c r="AZ389" s="67"/>
      <c r="BA389" s="67"/>
      <c r="BB389" s="67"/>
      <c r="BC389" s="77"/>
      <c r="BD389" s="67"/>
      <c r="BE389" s="67"/>
      <c r="BF389" s="67"/>
      <c r="BG389" s="67"/>
      <c r="BH389" s="77"/>
      <c r="BI389" s="68"/>
      <c r="BJ389" s="68"/>
      <c r="BK389" s="68"/>
      <c r="BL389" s="68"/>
      <c r="BP389" s="38"/>
      <c r="BQ389" s="38"/>
      <c r="BR389" s="38"/>
    </row>
    <row r="390" spans="3:70" s="76" customFormat="1" ht="12.75" customHeight="1">
      <c r="C390" s="96" t="s">
        <v>224</v>
      </c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>
        <v>-1</v>
      </c>
      <c r="U390" s="39">
        <v>-1</v>
      </c>
      <c r="V390" s="39">
        <v>0</v>
      </c>
      <c r="W390" s="39">
        <v>0</v>
      </c>
      <c r="X390" s="38">
        <f t="shared" si="1303"/>
        <v>1</v>
      </c>
      <c r="Y390" s="48">
        <v>0</v>
      </c>
      <c r="Z390" s="39">
        <v>818</v>
      </c>
      <c r="AA390" s="39">
        <v>0</v>
      </c>
      <c r="AB390" s="39">
        <v>53</v>
      </c>
      <c r="AC390" s="38">
        <f t="shared" si="1304"/>
        <v>0</v>
      </c>
      <c r="AD390" s="48">
        <v>871</v>
      </c>
      <c r="AE390" s="39">
        <v>0</v>
      </c>
      <c r="AF390" s="39">
        <v>0</v>
      </c>
      <c r="AG390" s="39">
        <v>0</v>
      </c>
      <c r="AH390" s="38">
        <f t="shared" si="1305"/>
        <v>0</v>
      </c>
      <c r="AI390" s="48">
        <v>0</v>
      </c>
      <c r="AJ390" s="39"/>
      <c r="AK390" s="39"/>
      <c r="AL390" s="39"/>
      <c r="AM390" s="38">
        <f t="shared" si="1306"/>
        <v>0</v>
      </c>
      <c r="AN390" s="48"/>
      <c r="AO390" s="39"/>
      <c r="AP390" s="39"/>
      <c r="AQ390" s="39"/>
      <c r="AR390" s="38"/>
      <c r="AS390" s="48"/>
      <c r="AT390" s="39"/>
      <c r="AU390" s="39"/>
      <c r="AV390" s="39"/>
      <c r="AW390" s="38"/>
      <c r="AX390" s="48"/>
      <c r="AY390" s="67"/>
      <c r="AZ390" s="67"/>
      <c r="BA390" s="67"/>
      <c r="BB390" s="67"/>
      <c r="BC390" s="77"/>
      <c r="BD390" s="67"/>
      <c r="BE390" s="67"/>
      <c r="BF390" s="67"/>
      <c r="BG390" s="67"/>
      <c r="BH390" s="77"/>
      <c r="BI390" s="68"/>
      <c r="BJ390" s="68"/>
      <c r="BK390" s="68"/>
      <c r="BL390" s="68"/>
      <c r="BP390" s="38"/>
      <c r="BQ390" s="38"/>
      <c r="BR390" s="38"/>
    </row>
    <row r="391" spans="3:70" s="38" customFormat="1" ht="12.75" customHeight="1">
      <c r="C391" s="76" t="s">
        <v>214</v>
      </c>
      <c r="D391" s="76"/>
      <c r="E391" s="69">
        <v>86</v>
      </c>
      <c r="F391" s="69">
        <v>86</v>
      </c>
      <c r="G391" s="69">
        <v>86</v>
      </c>
      <c r="H391" s="69">
        <v>86</v>
      </c>
      <c r="I391" s="69">
        <v>86</v>
      </c>
      <c r="J391" s="69">
        <v>86</v>
      </c>
      <c r="K391" s="69">
        <v>86</v>
      </c>
      <c r="L391" s="69">
        <v>86</v>
      </c>
      <c r="M391" s="69">
        <v>86</v>
      </c>
      <c r="N391" s="69">
        <v>86</v>
      </c>
      <c r="O391" s="69">
        <v>86</v>
      </c>
      <c r="P391" s="69">
        <v>86</v>
      </c>
      <c r="Q391" s="69">
        <v>86</v>
      </c>
      <c r="R391" s="69">
        <v>86</v>
      </c>
      <c r="S391" s="69">
        <v>-6</v>
      </c>
      <c r="T391" s="69">
        <v>0</v>
      </c>
      <c r="U391" s="70">
        <v>0</v>
      </c>
      <c r="V391" s="70">
        <v>0</v>
      </c>
      <c r="W391" s="70">
        <v>0</v>
      </c>
      <c r="X391" s="65">
        <f>Y391-SUM(U391:W391)</f>
        <v>-1</v>
      </c>
      <c r="Y391" s="69">
        <v>-1</v>
      </c>
      <c r="Z391" s="70">
        <v>0</v>
      </c>
      <c r="AA391" s="70">
        <v>-1</v>
      </c>
      <c r="AB391" s="70">
        <v>0</v>
      </c>
      <c r="AC391" s="65">
        <f>AD391-SUM(Z391:AB391)</f>
        <v>0</v>
      </c>
      <c r="AD391" s="69">
        <v>-1</v>
      </c>
      <c r="AE391" s="70">
        <v>-15</v>
      </c>
      <c r="AF391" s="70">
        <v>0</v>
      </c>
      <c r="AG391" s="70">
        <v>0</v>
      </c>
      <c r="AH391" s="65">
        <f>AI391-SUM(AE391:AG391)</f>
        <v>-1</v>
      </c>
      <c r="AI391" s="69">
        <v>-16</v>
      </c>
      <c r="AJ391" s="70">
        <v>0</v>
      </c>
      <c r="AK391" s="70">
        <v>-1</v>
      </c>
      <c r="AL391" s="70">
        <v>0</v>
      </c>
      <c r="AM391" s="65">
        <f>AN391-SUM(AJ391:AL391)</f>
        <v>0</v>
      </c>
      <c r="AN391" s="69">
        <v>-1</v>
      </c>
      <c r="AO391" s="70">
        <v>-2</v>
      </c>
      <c r="AP391" s="70">
        <v>-1</v>
      </c>
      <c r="AQ391" s="70">
        <v>0</v>
      </c>
      <c r="AR391" s="65">
        <f>AS391-SUM(AO391:AQ391)</f>
        <v>2</v>
      </c>
      <c r="AS391" s="69">
        <v>-1</v>
      </c>
      <c r="AT391" s="70">
        <v>0</v>
      </c>
      <c r="AU391" s="70">
        <v>0</v>
      </c>
      <c r="AV391" s="70">
        <v>0</v>
      </c>
      <c r="AW391" s="65">
        <f>AX391-SUM(AT391:AV391)</f>
        <v>-1</v>
      </c>
      <c r="AX391" s="69">
        <v>-1</v>
      </c>
      <c r="AY391" s="64">
        <v>0</v>
      </c>
      <c r="AZ391" s="64">
        <v>0</v>
      </c>
      <c r="BA391" s="64">
        <v>0</v>
      </c>
      <c r="BB391" s="64">
        <v>0</v>
      </c>
      <c r="BC391" s="79">
        <f>SUM(AY391:BB391)</f>
        <v>0</v>
      </c>
      <c r="BD391" s="64">
        <v>0</v>
      </c>
      <c r="BE391" s="64">
        <v>0</v>
      </c>
      <c r="BF391" s="64">
        <v>0</v>
      </c>
      <c r="BG391" s="64">
        <v>0</v>
      </c>
      <c r="BH391" s="79">
        <f>SUM(BD391:BG391)</f>
        <v>0</v>
      </c>
      <c r="BI391" s="72">
        <v>0</v>
      </c>
      <c r="BJ391" s="72">
        <v>0</v>
      </c>
      <c r="BK391" s="72">
        <v>0</v>
      </c>
      <c r="BL391" s="72">
        <v>0</v>
      </c>
      <c r="BN391" s="173"/>
    </row>
    <row r="392" spans="3:70" s="41" customFormat="1" ht="12.75" customHeight="1">
      <c r="C392" s="41" t="s">
        <v>52</v>
      </c>
      <c r="E392" s="49">
        <f t="shared" ref="E392:Q392" si="1310">SUM(E383:E391)</f>
        <v>-3000</v>
      </c>
      <c r="F392" s="49">
        <f t="shared" si="1310"/>
        <v>-3000</v>
      </c>
      <c r="G392" s="49">
        <f t="shared" si="1310"/>
        <v>-3000</v>
      </c>
      <c r="H392" s="49">
        <f t="shared" si="1310"/>
        <v>-3000</v>
      </c>
      <c r="I392" s="49">
        <f t="shared" si="1310"/>
        <v>-3000</v>
      </c>
      <c r="J392" s="49">
        <f t="shared" si="1310"/>
        <v>-3000</v>
      </c>
      <c r="K392" s="49">
        <f t="shared" si="1310"/>
        <v>-3000</v>
      </c>
      <c r="L392" s="49">
        <f t="shared" si="1310"/>
        <v>-3000</v>
      </c>
      <c r="M392" s="49">
        <f t="shared" si="1310"/>
        <v>-3000</v>
      </c>
      <c r="N392" s="49">
        <f t="shared" si="1310"/>
        <v>-3000</v>
      </c>
      <c r="O392" s="49">
        <f t="shared" si="1310"/>
        <v>-3000</v>
      </c>
      <c r="P392" s="49">
        <f t="shared" si="1310"/>
        <v>-3000</v>
      </c>
      <c r="Q392" s="49">
        <f t="shared" si="1310"/>
        <v>-3000</v>
      </c>
      <c r="R392" s="49">
        <f t="shared" ref="R392:BL392" si="1311">SUM(R383:R391)</f>
        <v>-3000</v>
      </c>
      <c r="S392" s="49">
        <f t="shared" si="1311"/>
        <v>-4197</v>
      </c>
      <c r="T392" s="49">
        <f t="shared" si="1311"/>
        <v>-4426</v>
      </c>
      <c r="U392" s="60">
        <f t="shared" si="1311"/>
        <v>-2097</v>
      </c>
      <c r="V392" s="60">
        <f t="shared" si="1311"/>
        <v>2197</v>
      </c>
      <c r="W392" s="60">
        <f t="shared" si="1311"/>
        <v>3522</v>
      </c>
      <c r="X392" s="60">
        <f t="shared" si="1311"/>
        <v>969</v>
      </c>
      <c r="Y392" s="49">
        <f t="shared" si="1311"/>
        <v>4591</v>
      </c>
      <c r="Z392" s="60">
        <f t="shared" si="1311"/>
        <v>-18</v>
      </c>
      <c r="AA392" s="60">
        <f t="shared" si="1311"/>
        <v>-2298</v>
      </c>
      <c r="AB392" s="60">
        <f t="shared" si="1311"/>
        <v>-124</v>
      </c>
      <c r="AC392" s="60">
        <f t="shared" si="1311"/>
        <v>-1104</v>
      </c>
      <c r="AD392" s="49">
        <f t="shared" si="1311"/>
        <v>-3544</v>
      </c>
      <c r="AE392" s="60">
        <f t="shared" si="1311"/>
        <v>-1541</v>
      </c>
      <c r="AF392" s="60">
        <f t="shared" si="1311"/>
        <v>-1710</v>
      </c>
      <c r="AG392" s="60">
        <f t="shared" si="1311"/>
        <v>-222</v>
      </c>
      <c r="AH392" s="60">
        <f t="shared" si="1311"/>
        <v>-760</v>
      </c>
      <c r="AI392" s="49">
        <f t="shared" si="1311"/>
        <v>-4233</v>
      </c>
      <c r="AJ392" s="60">
        <f t="shared" si="1311"/>
        <v>-1488</v>
      </c>
      <c r="AK392" s="60">
        <f t="shared" si="1311"/>
        <v>-2237</v>
      </c>
      <c r="AL392" s="60">
        <f t="shared" si="1311"/>
        <v>-383</v>
      </c>
      <c r="AM392" s="60">
        <f t="shared" si="1311"/>
        <v>84</v>
      </c>
      <c r="AN392" s="49">
        <f t="shared" si="1311"/>
        <v>-4024</v>
      </c>
      <c r="AO392" s="60">
        <f t="shared" si="1311"/>
        <v>-703</v>
      </c>
      <c r="AP392" s="60">
        <f t="shared" si="1311"/>
        <v>-2077</v>
      </c>
      <c r="AQ392" s="60">
        <f t="shared" si="1311"/>
        <v>-487</v>
      </c>
      <c r="AR392" s="60">
        <f t="shared" si="1311"/>
        <v>338</v>
      </c>
      <c r="AS392" s="49">
        <f t="shared" si="1311"/>
        <v>-2929</v>
      </c>
      <c r="AT392" s="60">
        <f t="shared" si="1311"/>
        <v>-718</v>
      </c>
      <c r="AU392" s="60">
        <f t="shared" si="1311"/>
        <v>-846</v>
      </c>
      <c r="AV392" s="60">
        <f t="shared" si="1311"/>
        <v>-158</v>
      </c>
      <c r="AW392" s="60">
        <f t="shared" si="1311"/>
        <v>-273</v>
      </c>
      <c r="AX392" s="49">
        <f t="shared" si="1311"/>
        <v>-1995</v>
      </c>
      <c r="AY392" s="60">
        <f t="shared" si="1311"/>
        <v>-25</v>
      </c>
      <c r="AZ392" s="60">
        <f t="shared" si="1311"/>
        <v>-25</v>
      </c>
      <c r="BA392" s="60">
        <f t="shared" si="1311"/>
        <v>-25</v>
      </c>
      <c r="BB392" s="60">
        <f t="shared" si="1311"/>
        <v>-25</v>
      </c>
      <c r="BC392" s="49">
        <f t="shared" si="1311"/>
        <v>-100</v>
      </c>
      <c r="BD392" s="60">
        <f t="shared" ref="BD392:BH392" si="1312">SUM(BD383:BD391)</f>
        <v>-25</v>
      </c>
      <c r="BE392" s="60">
        <f t="shared" si="1312"/>
        <v>-25</v>
      </c>
      <c r="BF392" s="60">
        <f t="shared" si="1312"/>
        <v>-25</v>
      </c>
      <c r="BG392" s="60">
        <f t="shared" si="1312"/>
        <v>-25</v>
      </c>
      <c r="BH392" s="49">
        <f t="shared" si="1312"/>
        <v>-100</v>
      </c>
      <c r="BI392" s="49">
        <f t="shared" si="1311"/>
        <v>-100</v>
      </c>
      <c r="BJ392" s="49">
        <f t="shared" si="1311"/>
        <v>-100</v>
      </c>
      <c r="BK392" s="49">
        <f t="shared" si="1311"/>
        <v>-100</v>
      </c>
      <c r="BL392" s="49">
        <f t="shared" si="1311"/>
        <v>-100</v>
      </c>
      <c r="BN392" s="174"/>
    </row>
    <row r="393" spans="3:70" s="38" customFormat="1" ht="12.75" customHeight="1"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5"/>
      <c r="V393" s="55"/>
      <c r="W393" s="55"/>
      <c r="X393" s="55"/>
      <c r="Y393" s="50"/>
      <c r="Z393" s="55"/>
      <c r="AA393" s="55"/>
      <c r="AB393" s="55"/>
      <c r="AC393" s="55"/>
      <c r="AD393" s="50"/>
      <c r="AE393" s="55"/>
      <c r="AF393" s="55"/>
      <c r="AG393" s="55"/>
      <c r="AH393" s="55"/>
      <c r="AI393" s="50"/>
      <c r="AJ393" s="55"/>
      <c r="AK393" s="55"/>
      <c r="AL393" s="55"/>
      <c r="AM393" s="55"/>
      <c r="AN393" s="50"/>
      <c r="AO393" s="55"/>
      <c r="AP393" s="55"/>
      <c r="AQ393" s="55"/>
      <c r="AR393" s="55"/>
      <c r="AS393" s="50"/>
      <c r="AT393" s="55"/>
      <c r="AU393" s="55"/>
      <c r="AV393" s="55"/>
      <c r="AW393" s="55"/>
      <c r="AX393" s="50"/>
      <c r="AY393" s="55"/>
      <c r="AZ393" s="55"/>
      <c r="BA393" s="55"/>
      <c r="BB393" s="55"/>
      <c r="BC393" s="50"/>
      <c r="BD393" s="55"/>
      <c r="BE393" s="55"/>
      <c r="BF393" s="55"/>
      <c r="BG393" s="55"/>
      <c r="BH393" s="50"/>
      <c r="BI393" s="50"/>
      <c r="BJ393" s="50"/>
      <c r="BK393" s="50"/>
      <c r="BL393" s="50"/>
      <c r="BN393" s="173"/>
    </row>
    <row r="394" spans="3:70" s="38" customFormat="1" ht="12.75" customHeight="1"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5"/>
      <c r="V394" s="55"/>
      <c r="W394" s="55"/>
      <c r="X394" s="55"/>
      <c r="Y394" s="50"/>
      <c r="Z394" s="55"/>
      <c r="AA394" s="55"/>
      <c r="AB394" s="55"/>
      <c r="AC394" s="55"/>
      <c r="AD394" s="50"/>
      <c r="AE394" s="55"/>
      <c r="AF394" s="55"/>
      <c r="AG394" s="55"/>
      <c r="AH394" s="55"/>
      <c r="AI394" s="50"/>
      <c r="AJ394" s="55"/>
      <c r="AK394" s="55"/>
      <c r="AL394" s="55"/>
      <c r="AM394" s="55"/>
      <c r="AN394" s="50"/>
      <c r="AO394" s="55"/>
      <c r="AP394" s="55"/>
      <c r="AQ394" s="55"/>
      <c r="AR394" s="55"/>
      <c r="AS394" s="50"/>
      <c r="AT394" s="55"/>
      <c r="AU394" s="55"/>
      <c r="AV394" s="55"/>
      <c r="AW394" s="55"/>
      <c r="AX394" s="50"/>
      <c r="AY394" s="55"/>
      <c r="AZ394" s="55"/>
      <c r="BA394" s="55"/>
      <c r="BB394" s="55"/>
      <c r="BC394" s="50"/>
      <c r="BD394" s="55"/>
      <c r="BE394" s="55"/>
      <c r="BF394" s="55"/>
      <c r="BG394" s="55"/>
      <c r="BH394" s="50"/>
      <c r="BI394" s="50"/>
      <c r="BJ394" s="50"/>
      <c r="BK394" s="50"/>
      <c r="BL394" s="50"/>
    </row>
    <row r="395" spans="3:70" s="38" customFormat="1" ht="12.75" customHeight="1">
      <c r="C395" s="84" t="s">
        <v>240</v>
      </c>
      <c r="E395" s="48">
        <v>10756</v>
      </c>
      <c r="F395" s="48">
        <v>10756</v>
      </c>
      <c r="G395" s="48">
        <v>10756</v>
      </c>
      <c r="H395" s="48">
        <v>10756</v>
      </c>
      <c r="I395" s="48">
        <v>10756</v>
      </c>
      <c r="J395" s="48">
        <v>10756</v>
      </c>
      <c r="K395" s="48">
        <v>10756</v>
      </c>
      <c r="L395" s="48">
        <v>10756</v>
      </c>
      <c r="M395" s="48">
        <v>10756</v>
      </c>
      <c r="N395" s="48">
        <v>10756</v>
      </c>
      <c r="O395" s="48">
        <v>10756</v>
      </c>
      <c r="P395" s="48">
        <v>10756</v>
      </c>
      <c r="Q395" s="48">
        <v>10756</v>
      </c>
      <c r="R395" s="48">
        <v>10756</v>
      </c>
      <c r="S395" s="48">
        <v>14009</v>
      </c>
      <c r="T395" s="48">
        <v>13013</v>
      </c>
      <c r="U395" s="39">
        <v>3661</v>
      </c>
      <c r="V395" s="39">
        <v>513</v>
      </c>
      <c r="W395" s="39">
        <v>52</v>
      </c>
      <c r="X395" s="38">
        <f t="shared" ref="X395:X414" si="1313">Y395-SUM(U395:W395)</f>
        <v>320</v>
      </c>
      <c r="Y395" s="48">
        <v>4546</v>
      </c>
      <c r="Z395" s="39">
        <v>1096</v>
      </c>
      <c r="AA395" s="39">
        <v>7843</v>
      </c>
      <c r="AB395" s="39">
        <v>1523</v>
      </c>
      <c r="AC395" s="38">
        <f t="shared" ref="AC395:AC414" si="1314">AD395-SUM(Z395:AB395)</f>
        <v>3861</v>
      </c>
      <c r="AD395" s="48">
        <v>14323</v>
      </c>
      <c r="AE395" s="39">
        <v>4680</v>
      </c>
      <c r="AF395" s="39">
        <v>2699</v>
      </c>
      <c r="AG395" s="39">
        <v>903</v>
      </c>
      <c r="AH395" s="38">
        <f t="shared" ref="AH395:AH414" si="1315">AI395-SUM(AE395:AG395)</f>
        <v>1390</v>
      </c>
      <c r="AI395" s="48">
        <v>9672</v>
      </c>
      <c r="AJ395" s="39">
        <v>2061</v>
      </c>
      <c r="AK395" s="39">
        <v>1960</v>
      </c>
      <c r="AL395" s="39">
        <v>1720</v>
      </c>
      <c r="AM395" s="38">
        <f t="shared" ref="AM395:AM413" si="1316">AN395-SUM(AJ395:AL395)</f>
        <v>302</v>
      </c>
      <c r="AN395" s="48">
        <v>6043</v>
      </c>
      <c r="AO395" s="39">
        <v>534</v>
      </c>
      <c r="AP395" s="39">
        <v>1149</v>
      </c>
      <c r="AQ395" s="39">
        <v>1576</v>
      </c>
      <c r="AR395" s="55">
        <f t="shared" ref="AR395:AR414" si="1317">AS395-SUM(AO395:AQ395)</f>
        <v>614</v>
      </c>
      <c r="AS395" s="48">
        <v>3873</v>
      </c>
      <c r="AT395" s="39">
        <v>1126</v>
      </c>
      <c r="AU395" s="39">
        <v>2648</v>
      </c>
      <c r="AV395" s="39">
        <v>850</v>
      </c>
      <c r="AW395" s="55">
        <f t="shared" ref="AW395:AW414" si="1318">AX395-SUM(AT395:AV395)</f>
        <v>1307</v>
      </c>
      <c r="AX395" s="48">
        <v>5931</v>
      </c>
      <c r="AY395" s="218"/>
      <c r="AZ395" s="218"/>
      <c r="BA395" s="218"/>
      <c r="BB395" s="218"/>
      <c r="BC395" s="50">
        <f t="shared" ref="BC395" si="1319">SUM(AY395:BB395)</f>
        <v>0</v>
      </c>
      <c r="BD395" s="218"/>
      <c r="BE395" s="218"/>
      <c r="BF395" s="218"/>
      <c r="BG395" s="218"/>
      <c r="BH395" s="50">
        <f t="shared" ref="BH395" si="1320">SUM(BD395:BG395)</f>
        <v>0</v>
      </c>
      <c r="BI395" s="140"/>
      <c r="BJ395" s="140"/>
      <c r="BK395" s="140"/>
      <c r="BL395" s="140"/>
    </row>
    <row r="396" spans="3:70" s="38" customFormat="1" ht="12.75" customHeight="1">
      <c r="C396" s="84" t="s">
        <v>241</v>
      </c>
      <c r="E396" s="48">
        <v>-10244</v>
      </c>
      <c r="F396" s="48">
        <v>-10244</v>
      </c>
      <c r="G396" s="48">
        <v>-10244</v>
      </c>
      <c r="H396" s="48">
        <v>-10244</v>
      </c>
      <c r="I396" s="48">
        <v>-10244</v>
      </c>
      <c r="J396" s="48">
        <v>-10244</v>
      </c>
      <c r="K396" s="48">
        <v>-10244</v>
      </c>
      <c r="L396" s="48">
        <v>-10244</v>
      </c>
      <c r="M396" s="48">
        <v>-10244</v>
      </c>
      <c r="N396" s="48">
        <v>-10244</v>
      </c>
      <c r="O396" s="48">
        <v>-10244</v>
      </c>
      <c r="P396" s="48">
        <v>-10244</v>
      </c>
      <c r="Q396" s="48">
        <v>-10244</v>
      </c>
      <c r="R396" s="48">
        <v>-10244</v>
      </c>
      <c r="S396" s="48">
        <v>-12426</v>
      </c>
      <c r="T396" s="48">
        <v>-11530</v>
      </c>
      <c r="U396" s="39">
        <v>-2538</v>
      </c>
      <c r="V396" s="39">
        <v>-2075</v>
      </c>
      <c r="W396" s="39">
        <v>-4318</v>
      </c>
      <c r="X396" s="38">
        <f t="shared" si="1313"/>
        <v>-1820</v>
      </c>
      <c r="Y396" s="48">
        <v>-10751</v>
      </c>
      <c r="Z396" s="39">
        <v>-946</v>
      </c>
      <c r="AA396" s="39">
        <v>-7174</v>
      </c>
      <c r="AB396" s="39">
        <v>-1343</v>
      </c>
      <c r="AC396" s="38">
        <f t="shared" si="1314"/>
        <v>-3144</v>
      </c>
      <c r="AD396" s="48">
        <v>-12607</v>
      </c>
      <c r="AE396" s="39">
        <v>-3492</v>
      </c>
      <c r="AF396" s="39">
        <v>-1332</v>
      </c>
      <c r="AG396" s="39">
        <v>-1130</v>
      </c>
      <c r="AH396" s="38">
        <f t="shared" si="1315"/>
        <v>-685</v>
      </c>
      <c r="AI396" s="48">
        <v>-6639</v>
      </c>
      <c r="AJ396" s="39">
        <v>-1190</v>
      </c>
      <c r="AK396" s="39">
        <v>-682</v>
      </c>
      <c r="AL396" s="39">
        <v>-1867</v>
      </c>
      <c r="AM396" s="38">
        <f t="shared" si="1316"/>
        <v>-1098</v>
      </c>
      <c r="AN396" s="48">
        <v>-4837</v>
      </c>
      <c r="AO396" s="39">
        <v>-892</v>
      </c>
      <c r="AP396" s="39">
        <v>-229</v>
      </c>
      <c r="AQ396" s="39">
        <v>-2159</v>
      </c>
      <c r="AR396" s="55">
        <f t="shared" si="1317"/>
        <v>-1547</v>
      </c>
      <c r="AS396" s="48">
        <v>-4827</v>
      </c>
      <c r="AT396" s="39">
        <v>-1384</v>
      </c>
      <c r="AU396" s="39">
        <v>-1606</v>
      </c>
      <c r="AV396" s="39">
        <v>-1295</v>
      </c>
      <c r="AW396" s="55">
        <f t="shared" si="1318"/>
        <v>-1476</v>
      </c>
      <c r="AX396" s="48">
        <v>-5761</v>
      </c>
      <c r="AY396" s="218"/>
      <c r="AZ396" s="218"/>
      <c r="BA396" s="218"/>
      <c r="BB396" s="218"/>
      <c r="BC396" s="50">
        <f t="shared" ref="BC396:BC404" si="1321">SUM(AY396:BB396)</f>
        <v>0</v>
      </c>
      <c r="BD396" s="218"/>
      <c r="BE396" s="218"/>
      <c r="BF396" s="218"/>
      <c r="BG396" s="218"/>
      <c r="BH396" s="50">
        <f t="shared" ref="BH396:BH413" si="1322">SUM(BD396:BG396)</f>
        <v>0</v>
      </c>
      <c r="BI396" s="140"/>
      <c r="BJ396" s="140"/>
      <c r="BK396" s="140"/>
      <c r="BL396" s="140"/>
    </row>
    <row r="397" spans="3:70" s="38" customFormat="1" ht="12.75" customHeight="1">
      <c r="C397" s="38" t="s">
        <v>217</v>
      </c>
      <c r="E397" s="48">
        <v>2100</v>
      </c>
      <c r="F397" s="48">
        <v>2100</v>
      </c>
      <c r="G397" s="48">
        <v>2100</v>
      </c>
      <c r="H397" s="48">
        <v>2100</v>
      </c>
      <c r="I397" s="48">
        <v>2100</v>
      </c>
      <c r="J397" s="48">
        <v>2100</v>
      </c>
      <c r="K397" s="48">
        <v>2100</v>
      </c>
      <c r="L397" s="48">
        <v>2100</v>
      </c>
      <c r="M397" s="48">
        <v>2100</v>
      </c>
      <c r="N397" s="48">
        <v>2100</v>
      </c>
      <c r="O397" s="48">
        <v>2100</v>
      </c>
      <c r="P397" s="48">
        <v>2100</v>
      </c>
      <c r="Q397" s="48">
        <v>2100</v>
      </c>
      <c r="R397" s="48">
        <v>2100</v>
      </c>
      <c r="S397" s="48">
        <v>557</v>
      </c>
      <c r="T397" s="48">
        <v>3016</v>
      </c>
      <c r="U397" s="39">
        <v>1440</v>
      </c>
      <c r="V397" s="39">
        <v>58</v>
      </c>
      <c r="W397" s="39">
        <v>55</v>
      </c>
      <c r="X397" s="38">
        <f t="shared" si="1313"/>
        <v>259</v>
      </c>
      <c r="Y397" s="48">
        <v>1812</v>
      </c>
      <c r="Z397" s="39">
        <v>560</v>
      </c>
      <c r="AA397" s="39">
        <v>2579</v>
      </c>
      <c r="AB397" s="39">
        <v>0</v>
      </c>
      <c r="AC397" s="38">
        <f t="shared" si="1314"/>
        <v>1505</v>
      </c>
      <c r="AD397" s="48">
        <v>4644</v>
      </c>
      <c r="AE397" s="39">
        <v>0</v>
      </c>
      <c r="AF397" s="39">
        <v>0</v>
      </c>
      <c r="AG397" s="39">
        <v>0</v>
      </c>
      <c r="AH397" s="38">
        <f t="shared" si="1315"/>
        <v>0</v>
      </c>
      <c r="AI397" s="48">
        <v>0</v>
      </c>
      <c r="AJ397" s="39">
        <v>425</v>
      </c>
      <c r="AK397" s="39">
        <v>825</v>
      </c>
      <c r="AL397" s="39">
        <v>400</v>
      </c>
      <c r="AM397" s="38">
        <f t="shared" si="1316"/>
        <v>840</v>
      </c>
      <c r="AN397" s="48">
        <v>2490</v>
      </c>
      <c r="AO397" s="39">
        <v>935</v>
      </c>
      <c r="AP397" s="39">
        <v>1950</v>
      </c>
      <c r="AQ397" s="39">
        <v>585</v>
      </c>
      <c r="AR397" s="55">
        <f t="shared" si="1317"/>
        <v>1176</v>
      </c>
      <c r="AS397" s="48">
        <v>4646</v>
      </c>
      <c r="AT397" s="39">
        <v>900</v>
      </c>
      <c r="AU397" s="39">
        <v>156</v>
      </c>
      <c r="AV397" s="39">
        <v>775</v>
      </c>
      <c r="AW397" s="55">
        <f t="shared" si="1318"/>
        <v>670</v>
      </c>
      <c r="AX397" s="48">
        <v>2501</v>
      </c>
      <c r="AY397" s="55"/>
      <c r="AZ397" s="55"/>
      <c r="BA397" s="55"/>
      <c r="BB397" s="55"/>
      <c r="BC397" s="50">
        <f t="shared" si="1321"/>
        <v>0</v>
      </c>
      <c r="BD397" s="55"/>
      <c r="BE397" s="55"/>
      <c r="BF397" s="55"/>
      <c r="BG397" s="55"/>
      <c r="BH397" s="50">
        <f t="shared" si="1322"/>
        <v>0</v>
      </c>
      <c r="BI397" s="50"/>
      <c r="BJ397" s="50"/>
      <c r="BK397" s="50"/>
      <c r="BL397" s="50"/>
    </row>
    <row r="398" spans="3:70" s="38" customFormat="1" ht="12.75" customHeight="1">
      <c r="C398" s="38" t="s">
        <v>218</v>
      </c>
      <c r="E398" s="48">
        <v>-1560</v>
      </c>
      <c r="F398" s="48">
        <v>-1560</v>
      </c>
      <c r="G398" s="48">
        <v>-1560</v>
      </c>
      <c r="H398" s="48">
        <v>-1560</v>
      </c>
      <c r="I398" s="48">
        <v>-1560</v>
      </c>
      <c r="J398" s="48">
        <v>-1560</v>
      </c>
      <c r="K398" s="48">
        <v>-1560</v>
      </c>
      <c r="L398" s="48">
        <v>-1560</v>
      </c>
      <c r="M398" s="48">
        <v>-1560</v>
      </c>
      <c r="N398" s="48">
        <v>-1560</v>
      </c>
      <c r="O398" s="48">
        <v>-1560</v>
      </c>
      <c r="P398" s="48">
        <v>-1560</v>
      </c>
      <c r="Q398" s="48">
        <v>-1560</v>
      </c>
      <c r="R398" s="48">
        <v>-1560</v>
      </c>
      <c r="S398" s="48">
        <v>-571</v>
      </c>
      <c r="T398" s="48">
        <v>-3732</v>
      </c>
      <c r="U398" s="39">
        <v>-851</v>
      </c>
      <c r="V398" s="39">
        <v>-2</v>
      </c>
      <c r="W398" s="39">
        <v>-1</v>
      </c>
      <c r="X398" s="38">
        <f t="shared" si="1313"/>
        <v>-1</v>
      </c>
      <c r="Y398" s="48">
        <v>-855</v>
      </c>
      <c r="Z398" s="39">
        <v>-1</v>
      </c>
      <c r="AA398" s="39">
        <v>-6340</v>
      </c>
      <c r="AB398" s="39">
        <v>-5</v>
      </c>
      <c r="AC398" s="38">
        <f t="shared" si="1314"/>
        <v>-6</v>
      </c>
      <c r="AD398" s="48">
        <v>-6352</v>
      </c>
      <c r="AE398" s="39">
        <v>-5</v>
      </c>
      <c r="AF398" s="39">
        <v>-5</v>
      </c>
      <c r="AG398" s="39">
        <v>-4</v>
      </c>
      <c r="AH398" s="38">
        <f t="shared" si="1315"/>
        <v>-6</v>
      </c>
      <c r="AI398" s="48">
        <v>-20</v>
      </c>
      <c r="AJ398" s="39">
        <v>-430</v>
      </c>
      <c r="AK398" s="39">
        <v>-329</v>
      </c>
      <c r="AL398" s="39">
        <v>-754</v>
      </c>
      <c r="AM398" s="38">
        <f t="shared" si="1316"/>
        <v>-505</v>
      </c>
      <c r="AN398" s="48">
        <v>-2018</v>
      </c>
      <c r="AO398" s="39">
        <v>-490</v>
      </c>
      <c r="AP398" s="39">
        <v>-1245</v>
      </c>
      <c r="AQ398" s="39">
        <v>-499</v>
      </c>
      <c r="AR398" s="55">
        <f t="shared" si="1317"/>
        <v>-732</v>
      </c>
      <c r="AS398" s="48">
        <v>-2966</v>
      </c>
      <c r="AT398" s="39">
        <v>-280</v>
      </c>
      <c r="AU398" s="39">
        <v>-579</v>
      </c>
      <c r="AV398" s="39">
        <v>-519</v>
      </c>
      <c r="AW398" s="55">
        <f t="shared" si="1318"/>
        <v>-790</v>
      </c>
      <c r="AX398" s="48">
        <v>-2168</v>
      </c>
      <c r="AY398" s="55">
        <f t="shared" ref="AY398:BA398" ca="1" si="1323">AY345</f>
        <v>-464.17622603638767</v>
      </c>
      <c r="AZ398" s="55">
        <f t="shared" ca="1" si="1323"/>
        <v>-410.93306943214509</v>
      </c>
      <c r="BA398" s="55">
        <f t="shared" ca="1" si="1323"/>
        <v>-650.49921204796146</v>
      </c>
      <c r="BB398" s="55">
        <f ca="1">BB345</f>
        <v>-301.79377153977379</v>
      </c>
      <c r="BC398" s="50">
        <f t="shared" ca="1" si="1321"/>
        <v>-1827.4022790562681</v>
      </c>
      <c r="BD398" s="55">
        <f t="shared" ref="BD398:BL398" ca="1" si="1324">BD345</f>
        <v>-259.36835542699896</v>
      </c>
      <c r="BE398" s="55">
        <f t="shared" ca="1" si="1324"/>
        <v>-475.99239910861598</v>
      </c>
      <c r="BF398" s="55">
        <f t="shared" ca="1" si="1324"/>
        <v>-722.19948018023763</v>
      </c>
      <c r="BG398" s="55">
        <f t="shared" ca="1" si="1324"/>
        <v>-367.31390563980602</v>
      </c>
      <c r="BH398" s="50">
        <f t="shared" ca="1" si="1322"/>
        <v>-1824.8741403556585</v>
      </c>
      <c r="BI398" s="50">
        <f t="shared" ca="1" si="1324"/>
        <v>-2177.974491651662</v>
      </c>
      <c r="BJ398" s="50">
        <f t="shared" ca="1" si="1324"/>
        <v>-2544.3935697888533</v>
      </c>
      <c r="BK398" s="50">
        <f t="shared" ca="1" si="1324"/>
        <v>-2953.6466682499918</v>
      </c>
      <c r="BL398" s="50">
        <f t="shared" ca="1" si="1324"/>
        <v>-3400.0150472372411</v>
      </c>
    </row>
    <row r="399" spans="3:70" s="38" customFormat="1" ht="12.75" customHeight="1">
      <c r="C399" s="38" t="s">
        <v>215</v>
      </c>
      <c r="E399" s="48">
        <v>-59</v>
      </c>
      <c r="F399" s="48">
        <v>-59</v>
      </c>
      <c r="G399" s="48">
        <v>-59</v>
      </c>
      <c r="H399" s="48">
        <v>-59</v>
      </c>
      <c r="I399" s="48">
        <v>-59</v>
      </c>
      <c r="J399" s="48">
        <v>-59</v>
      </c>
      <c r="K399" s="48">
        <v>-59</v>
      </c>
      <c r="L399" s="48">
        <v>-59</v>
      </c>
      <c r="M399" s="48">
        <v>-59</v>
      </c>
      <c r="N399" s="48">
        <v>-59</v>
      </c>
      <c r="O399" s="48">
        <v>-59</v>
      </c>
      <c r="P399" s="48">
        <v>-59</v>
      </c>
      <c r="Q399" s="48">
        <v>-59</v>
      </c>
      <c r="R399" s="48">
        <v>-59</v>
      </c>
      <c r="S399" s="48">
        <v>-47</v>
      </c>
      <c r="T399" s="48">
        <v>-53</v>
      </c>
      <c r="U399" s="39">
        <v>-9</v>
      </c>
      <c r="V399" s="39">
        <v>-2</v>
      </c>
      <c r="W399" s="39">
        <v>0</v>
      </c>
      <c r="X399" s="38">
        <f t="shared" si="1313"/>
        <v>-64</v>
      </c>
      <c r="Y399" s="48">
        <v>-75</v>
      </c>
      <c r="Z399" s="39">
        <v>-7</v>
      </c>
      <c r="AA399" s="39">
        <v>-144</v>
      </c>
      <c r="AB399" s="39">
        <v>-3</v>
      </c>
      <c r="AC399" s="38">
        <f t="shared" si="1314"/>
        <v>-31</v>
      </c>
      <c r="AD399" s="48">
        <v>-185</v>
      </c>
      <c r="AE399" s="39">
        <v>-24</v>
      </c>
      <c r="AF399" s="39">
        <v>-14</v>
      </c>
      <c r="AG399" s="39">
        <v>-4</v>
      </c>
      <c r="AH399" s="38">
        <f t="shared" si="1315"/>
        <v>-6</v>
      </c>
      <c r="AI399" s="48">
        <v>-48</v>
      </c>
      <c r="AJ399" s="39">
        <v>-8</v>
      </c>
      <c r="AK399" s="39">
        <v>-9</v>
      </c>
      <c r="AL399" s="39">
        <v>-14</v>
      </c>
      <c r="AM399" s="38">
        <f t="shared" si="1316"/>
        <v>-10</v>
      </c>
      <c r="AN399" s="48">
        <v>-41</v>
      </c>
      <c r="AO399" s="39">
        <v>0</v>
      </c>
      <c r="AP399" s="39">
        <v>-42</v>
      </c>
      <c r="AQ399" s="39">
        <v>-13</v>
      </c>
      <c r="AR399" s="40">
        <f t="shared" si="1317"/>
        <v>-9</v>
      </c>
      <c r="AS399" s="48">
        <v>-64</v>
      </c>
      <c r="AT399" s="39">
        <v>-13</v>
      </c>
      <c r="AU399" s="39">
        <v>-28</v>
      </c>
      <c r="AV399" s="39">
        <v>-27</v>
      </c>
      <c r="AW399" s="40">
        <f t="shared" si="1318"/>
        <v>-14</v>
      </c>
      <c r="AX399" s="48">
        <v>-82</v>
      </c>
      <c r="AY399" s="67"/>
      <c r="AZ399" s="67"/>
      <c r="BA399" s="67"/>
      <c r="BB399" s="67"/>
      <c r="BC399" s="50">
        <f t="shared" si="1321"/>
        <v>0</v>
      </c>
      <c r="BD399" s="67"/>
      <c r="BE399" s="67"/>
      <c r="BF399" s="67"/>
      <c r="BG399" s="67"/>
      <c r="BH399" s="77">
        <f t="shared" si="1322"/>
        <v>0</v>
      </c>
      <c r="BI399" s="68"/>
      <c r="BJ399" s="68"/>
      <c r="BK399" s="68"/>
      <c r="BL399" s="68"/>
    </row>
    <row r="400" spans="3:70" s="38" customFormat="1" ht="12.75" customHeight="1">
      <c r="C400" s="38" t="s">
        <v>228</v>
      </c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39">
        <v>0</v>
      </c>
      <c r="V400" s="39">
        <v>0</v>
      </c>
      <c r="W400" s="39">
        <v>0</v>
      </c>
      <c r="X400" s="38">
        <f t="shared" si="1313"/>
        <v>0</v>
      </c>
      <c r="Y400" s="48">
        <v>0</v>
      </c>
      <c r="Z400" s="39"/>
      <c r="AA400" s="39">
        <v>2781</v>
      </c>
      <c r="AB400" s="39">
        <v>0</v>
      </c>
      <c r="AC400" s="38">
        <f t="shared" si="1314"/>
        <v>0</v>
      </c>
      <c r="AD400" s="48">
        <v>2781</v>
      </c>
      <c r="AE400" s="39"/>
      <c r="AF400" s="39">
        <v>0</v>
      </c>
      <c r="AG400" s="39">
        <v>0</v>
      </c>
      <c r="AH400" s="38">
        <f t="shared" si="1315"/>
        <v>0</v>
      </c>
      <c r="AI400" s="48">
        <v>0</v>
      </c>
      <c r="AJ400" s="39"/>
      <c r="AK400" s="39"/>
      <c r="AL400" s="39"/>
      <c r="AM400" s="38">
        <f t="shared" si="1316"/>
        <v>0</v>
      </c>
      <c r="AN400" s="48"/>
      <c r="AO400" s="39"/>
      <c r="AP400" s="39"/>
      <c r="AQ400" s="39"/>
      <c r="AR400" s="40"/>
      <c r="AS400" s="48"/>
      <c r="AT400" s="39"/>
      <c r="AU400" s="39"/>
      <c r="AV400" s="39"/>
      <c r="AW400" s="40"/>
      <c r="AX400" s="48"/>
      <c r="AY400" s="67"/>
      <c r="AZ400" s="67"/>
      <c r="BA400" s="67"/>
      <c r="BB400" s="67"/>
      <c r="BC400" s="50">
        <f t="shared" si="1321"/>
        <v>0</v>
      </c>
      <c r="BD400" s="67"/>
      <c r="BE400" s="67"/>
      <c r="BF400" s="67"/>
      <c r="BG400" s="67"/>
      <c r="BH400" s="77">
        <f t="shared" si="1322"/>
        <v>0</v>
      </c>
      <c r="BI400" s="68"/>
      <c r="BJ400" s="68"/>
      <c r="BK400" s="68"/>
      <c r="BL400" s="68"/>
    </row>
    <row r="401" spans="3:66" s="38" customFormat="1" ht="12.75" customHeight="1">
      <c r="C401" s="84" t="s">
        <v>233</v>
      </c>
      <c r="E401" s="48">
        <v>-5</v>
      </c>
      <c r="F401" s="48">
        <v>-5</v>
      </c>
      <c r="G401" s="48">
        <v>-5</v>
      </c>
      <c r="H401" s="48">
        <v>-5</v>
      </c>
      <c r="I401" s="48">
        <v>-5</v>
      </c>
      <c r="J401" s="48">
        <v>-5</v>
      </c>
      <c r="K401" s="48">
        <v>-5</v>
      </c>
      <c r="L401" s="48">
        <v>-5</v>
      </c>
      <c r="M401" s="48">
        <v>-5</v>
      </c>
      <c r="N401" s="48">
        <v>-5</v>
      </c>
      <c r="O401" s="48">
        <v>-5</v>
      </c>
      <c r="P401" s="48">
        <v>-5</v>
      </c>
      <c r="Q401" s="48">
        <v>-5</v>
      </c>
      <c r="R401" s="48">
        <v>-5</v>
      </c>
      <c r="S401" s="48">
        <v>-19</v>
      </c>
      <c r="T401" s="48">
        <v>-34</v>
      </c>
      <c r="U401" s="39">
        <v>0</v>
      </c>
      <c r="V401" s="39">
        <v>0</v>
      </c>
      <c r="W401" s="39">
        <v>0</v>
      </c>
      <c r="X401" s="38">
        <f t="shared" si="1313"/>
        <v>0</v>
      </c>
      <c r="Y401" s="48">
        <v>0</v>
      </c>
      <c r="Z401" s="39"/>
      <c r="AA401" s="39">
        <v>-85</v>
      </c>
      <c r="AB401" s="39">
        <v>0</v>
      </c>
      <c r="AC401" s="38">
        <f t="shared" si="1314"/>
        <v>0</v>
      </c>
      <c r="AD401" s="48">
        <v>-85</v>
      </c>
      <c r="AE401" s="39"/>
      <c r="AF401" s="39">
        <v>0</v>
      </c>
      <c r="AG401" s="39">
        <v>0</v>
      </c>
      <c r="AH401" s="38">
        <f t="shared" si="1315"/>
        <v>0</v>
      </c>
      <c r="AI401" s="48">
        <v>0</v>
      </c>
      <c r="AJ401" s="39"/>
      <c r="AK401" s="39"/>
      <c r="AL401" s="39"/>
      <c r="AM401" s="38">
        <f t="shared" si="1316"/>
        <v>0</v>
      </c>
      <c r="AN401" s="48"/>
      <c r="AO401" s="39"/>
      <c r="AP401" s="39"/>
      <c r="AQ401" s="39"/>
      <c r="AR401" s="40"/>
      <c r="AS401" s="48"/>
      <c r="AT401" s="39"/>
      <c r="AU401" s="39"/>
      <c r="AV401" s="39"/>
      <c r="AW401" s="40"/>
      <c r="AX401" s="48"/>
      <c r="AY401" s="67"/>
      <c r="AZ401" s="67"/>
      <c r="BA401" s="67"/>
      <c r="BB401" s="67"/>
      <c r="BC401" s="50">
        <f t="shared" si="1321"/>
        <v>0</v>
      </c>
      <c r="BD401" s="67"/>
      <c r="BE401" s="67"/>
      <c r="BF401" s="67"/>
      <c r="BG401" s="67"/>
      <c r="BH401" s="77">
        <f t="shared" si="1322"/>
        <v>0</v>
      </c>
      <c r="BI401" s="68"/>
      <c r="BJ401" s="68"/>
      <c r="BK401" s="68"/>
      <c r="BL401" s="68"/>
    </row>
    <row r="402" spans="3:66" s="38" customFormat="1" ht="12.75" customHeight="1">
      <c r="C402" s="38" t="s">
        <v>237</v>
      </c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39"/>
      <c r="V402" s="39">
        <v>29</v>
      </c>
      <c r="W402" s="39">
        <v>-1</v>
      </c>
      <c r="X402" s="38">
        <f t="shared" si="1313"/>
        <v>0</v>
      </c>
      <c r="Y402" s="48">
        <v>28</v>
      </c>
      <c r="Z402" s="39"/>
      <c r="AA402" s="39"/>
      <c r="AB402" s="39"/>
      <c r="AC402" s="38">
        <f t="shared" si="1314"/>
        <v>0</v>
      </c>
      <c r="AD402" s="48">
        <v>0</v>
      </c>
      <c r="AE402" s="39"/>
      <c r="AF402" s="39"/>
      <c r="AG402" s="39"/>
      <c r="AH402" s="38">
        <f t="shared" si="1315"/>
        <v>0</v>
      </c>
      <c r="AI402" s="48">
        <v>0</v>
      </c>
      <c r="AJ402" s="39"/>
      <c r="AK402" s="39"/>
      <c r="AL402" s="39"/>
      <c r="AM402" s="38">
        <f t="shared" si="1316"/>
        <v>0</v>
      </c>
      <c r="AN402" s="48"/>
      <c r="AO402" s="39"/>
      <c r="AP402" s="39"/>
      <c r="AQ402" s="39"/>
      <c r="AR402" s="40"/>
      <c r="AS402" s="48"/>
      <c r="AT402" s="39"/>
      <c r="AU402" s="39"/>
      <c r="AV402" s="39"/>
      <c r="AW402" s="40"/>
      <c r="AX402" s="48"/>
      <c r="AY402" s="67"/>
      <c r="AZ402" s="67"/>
      <c r="BA402" s="67"/>
      <c r="BB402" s="67"/>
      <c r="BC402" s="50">
        <f t="shared" si="1321"/>
        <v>0</v>
      </c>
      <c r="BD402" s="67"/>
      <c r="BE402" s="67"/>
      <c r="BF402" s="67"/>
      <c r="BG402" s="67"/>
      <c r="BH402" s="77">
        <f t="shared" si="1322"/>
        <v>0</v>
      </c>
      <c r="BI402" s="68"/>
      <c r="BJ402" s="68"/>
      <c r="BK402" s="68"/>
      <c r="BL402" s="68"/>
    </row>
    <row r="403" spans="3:66" s="38" customFormat="1" ht="12.75" customHeight="1">
      <c r="C403" s="38" t="s">
        <v>229</v>
      </c>
      <c r="E403" s="48">
        <v>0</v>
      </c>
      <c r="F403" s="48">
        <v>0</v>
      </c>
      <c r="G403" s="48">
        <v>0</v>
      </c>
      <c r="H403" s="48">
        <v>0</v>
      </c>
      <c r="I403" s="48">
        <v>0</v>
      </c>
      <c r="J403" s="48">
        <v>0</v>
      </c>
      <c r="K403" s="48">
        <v>0</v>
      </c>
      <c r="L403" s="48">
        <v>0</v>
      </c>
      <c r="M403" s="48">
        <v>0</v>
      </c>
      <c r="N403" s="48">
        <v>0</v>
      </c>
      <c r="O403" s="48">
        <v>0</v>
      </c>
      <c r="P403" s="48">
        <v>0</v>
      </c>
      <c r="Q403" s="48">
        <v>0</v>
      </c>
      <c r="R403" s="48">
        <v>0</v>
      </c>
      <c r="S403" s="48">
        <v>0</v>
      </c>
      <c r="T403" s="48">
        <v>748</v>
      </c>
      <c r="U403" s="39">
        <v>0</v>
      </c>
      <c r="V403" s="39">
        <v>0</v>
      </c>
      <c r="W403" s="39">
        <v>0</v>
      </c>
      <c r="X403" s="38">
        <f t="shared" si="1313"/>
        <v>0</v>
      </c>
      <c r="Y403" s="48"/>
      <c r="Z403" s="39"/>
      <c r="AA403" s="39">
        <v>1635</v>
      </c>
      <c r="AB403" s="39">
        <v>4</v>
      </c>
      <c r="AC403" s="38">
        <f t="shared" si="1314"/>
        <v>-1639</v>
      </c>
      <c r="AD403" s="48"/>
      <c r="AE403" s="39"/>
      <c r="AF403" s="39">
        <v>0</v>
      </c>
      <c r="AG403" s="39">
        <v>0</v>
      </c>
      <c r="AH403" s="38">
        <f t="shared" si="1315"/>
        <v>0</v>
      </c>
      <c r="AI403" s="48"/>
      <c r="AJ403" s="39"/>
      <c r="AK403" s="39"/>
      <c r="AL403" s="39"/>
      <c r="AM403" s="38">
        <f t="shared" si="1316"/>
        <v>0</v>
      </c>
      <c r="AN403" s="48"/>
      <c r="AO403" s="39"/>
      <c r="AP403" s="39"/>
      <c r="AQ403" s="39"/>
      <c r="AR403" s="40"/>
      <c r="AS403" s="48"/>
      <c r="AT403" s="39"/>
      <c r="AU403" s="39"/>
      <c r="AV403" s="39"/>
      <c r="AW403" s="40"/>
      <c r="AX403" s="48"/>
      <c r="AY403" s="67"/>
      <c r="AZ403" s="67"/>
      <c r="BA403" s="67"/>
      <c r="BB403" s="67"/>
      <c r="BC403" s="50">
        <f t="shared" si="1321"/>
        <v>0</v>
      </c>
      <c r="BD403" s="67"/>
      <c r="BE403" s="67"/>
      <c r="BF403" s="67"/>
      <c r="BG403" s="67"/>
      <c r="BH403" s="77">
        <f t="shared" si="1322"/>
        <v>0</v>
      </c>
      <c r="BI403" s="68"/>
      <c r="BJ403" s="68"/>
      <c r="BK403" s="68"/>
      <c r="BL403" s="68"/>
    </row>
    <row r="404" spans="3:66" s="38" customFormat="1" ht="12.75" customHeight="1">
      <c r="C404" s="38" t="s">
        <v>230</v>
      </c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39">
        <v>0</v>
      </c>
      <c r="V404" s="39">
        <v>0</v>
      </c>
      <c r="W404" s="39">
        <v>0</v>
      </c>
      <c r="X404" s="38">
        <f t="shared" si="1313"/>
        <v>0</v>
      </c>
      <c r="Y404" s="48">
        <v>0</v>
      </c>
      <c r="Z404" s="39"/>
      <c r="AA404" s="39">
        <v>1433</v>
      </c>
      <c r="AB404" s="39">
        <v>0</v>
      </c>
      <c r="AC404" s="38">
        <f t="shared" si="1314"/>
        <v>0</v>
      </c>
      <c r="AD404" s="48">
        <v>1433</v>
      </c>
      <c r="AE404" s="39"/>
      <c r="AF404" s="39">
        <v>0</v>
      </c>
      <c r="AG404" s="39">
        <v>0</v>
      </c>
      <c r="AH404" s="38">
        <f t="shared" si="1315"/>
        <v>0</v>
      </c>
      <c r="AI404" s="48">
        <v>0</v>
      </c>
      <c r="AJ404" s="39"/>
      <c r="AK404" s="39"/>
      <c r="AL404" s="39"/>
      <c r="AM404" s="38">
        <f t="shared" si="1316"/>
        <v>0</v>
      </c>
      <c r="AN404" s="48"/>
      <c r="AO404" s="39"/>
      <c r="AP404" s="39"/>
      <c r="AQ404" s="39"/>
      <c r="AR404" s="40"/>
      <c r="AS404" s="48"/>
      <c r="AT404" s="39"/>
      <c r="AU404" s="39"/>
      <c r="AV404" s="39"/>
      <c r="AW404" s="40"/>
      <c r="AX404" s="48"/>
      <c r="AY404" s="67"/>
      <c r="AZ404" s="67"/>
      <c r="BA404" s="67"/>
      <c r="BB404" s="67"/>
      <c r="BC404" s="50">
        <f t="shared" si="1321"/>
        <v>0</v>
      </c>
      <c r="BD404" s="67"/>
      <c r="BE404" s="67"/>
      <c r="BF404" s="67"/>
      <c r="BG404" s="67"/>
      <c r="BH404" s="77">
        <f t="shared" si="1322"/>
        <v>0</v>
      </c>
      <c r="BI404" s="68"/>
      <c r="BJ404" s="68"/>
      <c r="BK404" s="68"/>
      <c r="BL404" s="68"/>
    </row>
    <row r="405" spans="3:66" s="38" customFormat="1" ht="12.75" customHeight="1">
      <c r="C405" s="38" t="s">
        <v>231</v>
      </c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39">
        <v>0</v>
      </c>
      <c r="V405" s="39">
        <v>0</v>
      </c>
      <c r="W405" s="39">
        <v>0</v>
      </c>
      <c r="X405" s="38">
        <f t="shared" si="1313"/>
        <v>0</v>
      </c>
      <c r="Y405" s="48">
        <v>0</v>
      </c>
      <c r="Z405" s="39"/>
      <c r="AA405" s="39">
        <v>-239</v>
      </c>
      <c r="AB405" s="39">
        <v>0</v>
      </c>
      <c r="AC405" s="38">
        <f t="shared" si="1314"/>
        <v>0</v>
      </c>
      <c r="AD405" s="48">
        <v>-239</v>
      </c>
      <c r="AE405" s="39"/>
      <c r="AF405" s="39">
        <v>0</v>
      </c>
      <c r="AG405" s="39">
        <v>0</v>
      </c>
      <c r="AH405" s="38">
        <f t="shared" si="1315"/>
        <v>0</v>
      </c>
      <c r="AI405" s="48">
        <v>0</v>
      </c>
      <c r="AJ405" s="39"/>
      <c r="AK405" s="39"/>
      <c r="AL405" s="39"/>
      <c r="AM405" s="38">
        <f t="shared" si="1316"/>
        <v>0</v>
      </c>
      <c r="AN405" s="48"/>
      <c r="AO405" s="39"/>
      <c r="AP405" s="39"/>
      <c r="AQ405" s="39"/>
      <c r="AR405" s="40"/>
      <c r="AS405" s="48"/>
      <c r="AT405" s="39"/>
      <c r="AU405" s="39"/>
      <c r="AV405" s="39"/>
      <c r="AW405" s="40"/>
      <c r="AX405" s="48"/>
      <c r="AY405" s="67"/>
      <c r="AZ405" s="67"/>
      <c r="BA405" s="67"/>
      <c r="BB405" s="67"/>
      <c r="BC405" s="77"/>
      <c r="BD405" s="67"/>
      <c r="BE405" s="67"/>
      <c r="BF405" s="67"/>
      <c r="BG405" s="67"/>
      <c r="BH405" s="77">
        <f t="shared" si="1322"/>
        <v>0</v>
      </c>
      <c r="BI405" s="68"/>
      <c r="BJ405" s="68"/>
      <c r="BK405" s="68"/>
      <c r="BL405" s="68"/>
    </row>
    <row r="406" spans="3:66" s="38" customFormat="1" ht="12.75" customHeight="1">
      <c r="C406" s="38" t="s">
        <v>232</v>
      </c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39">
        <v>0</v>
      </c>
      <c r="V406" s="39">
        <v>0</v>
      </c>
      <c r="W406" s="39">
        <v>0</v>
      </c>
      <c r="X406" s="38">
        <f t="shared" si="1313"/>
        <v>0</v>
      </c>
      <c r="Y406" s="48">
        <v>0</v>
      </c>
      <c r="Z406" s="39"/>
      <c r="AA406" s="39">
        <v>0</v>
      </c>
      <c r="AB406" s="39">
        <v>0</v>
      </c>
      <c r="AC406" s="38">
        <f t="shared" si="1314"/>
        <v>77</v>
      </c>
      <c r="AD406" s="48">
        <v>77</v>
      </c>
      <c r="AE406" s="39"/>
      <c r="AF406" s="39">
        <v>3</v>
      </c>
      <c r="AG406" s="39">
        <v>0</v>
      </c>
      <c r="AH406" s="38">
        <f t="shared" si="1315"/>
        <v>0</v>
      </c>
      <c r="AI406" s="48">
        <v>3</v>
      </c>
      <c r="AJ406" s="39"/>
      <c r="AK406" s="39"/>
      <c r="AL406" s="39"/>
      <c r="AM406" s="38">
        <f t="shared" si="1316"/>
        <v>0</v>
      </c>
      <c r="AN406" s="48"/>
      <c r="AO406" s="39"/>
      <c r="AP406" s="39"/>
      <c r="AQ406" s="39"/>
      <c r="AR406" s="40"/>
      <c r="AS406" s="48"/>
      <c r="AT406" s="39"/>
      <c r="AU406" s="39"/>
      <c r="AV406" s="39"/>
      <c r="AW406" s="40"/>
      <c r="AX406" s="48"/>
      <c r="AY406" s="67"/>
      <c r="AZ406" s="67"/>
      <c r="BA406" s="67"/>
      <c r="BB406" s="67"/>
      <c r="BC406" s="77"/>
      <c r="BD406" s="67"/>
      <c r="BE406" s="67"/>
      <c r="BF406" s="67"/>
      <c r="BG406" s="67"/>
      <c r="BH406" s="77">
        <f t="shared" si="1322"/>
        <v>0</v>
      </c>
      <c r="BI406" s="68"/>
      <c r="BJ406" s="68"/>
      <c r="BK406" s="68"/>
      <c r="BL406" s="68"/>
    </row>
    <row r="407" spans="3:66" s="38" customFormat="1" ht="12.75" customHeight="1">
      <c r="C407" s="38" t="s">
        <v>238</v>
      </c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39">
        <v>0</v>
      </c>
      <c r="V407" s="39">
        <v>0</v>
      </c>
      <c r="W407" s="39">
        <v>0</v>
      </c>
      <c r="X407" s="38">
        <f t="shared" si="1313"/>
        <v>0</v>
      </c>
      <c r="Y407" s="48">
        <v>0</v>
      </c>
      <c r="Z407" s="39"/>
      <c r="AA407" s="39"/>
      <c r="AB407" s="39"/>
      <c r="AC407" s="38">
        <f t="shared" si="1314"/>
        <v>1639</v>
      </c>
      <c r="AD407" s="48">
        <v>1639</v>
      </c>
      <c r="AE407" s="39"/>
      <c r="AF407" s="39"/>
      <c r="AG407" s="39"/>
      <c r="AH407" s="38">
        <f t="shared" si="1315"/>
        <v>0</v>
      </c>
      <c r="AI407" s="48">
        <v>0</v>
      </c>
      <c r="AJ407" s="39"/>
      <c r="AK407" s="39"/>
      <c r="AL407" s="39"/>
      <c r="AM407" s="38">
        <f t="shared" si="1316"/>
        <v>0</v>
      </c>
      <c r="AN407" s="48"/>
      <c r="AO407" s="39"/>
      <c r="AP407" s="39"/>
      <c r="AQ407" s="39"/>
      <c r="AR407" s="40"/>
      <c r="AS407" s="48"/>
      <c r="AT407" s="39"/>
      <c r="AU407" s="39"/>
      <c r="AV407" s="39"/>
      <c r="AW407" s="40"/>
      <c r="AX407" s="48"/>
      <c r="AY407" s="67"/>
      <c r="AZ407" s="67"/>
      <c r="BA407" s="67"/>
      <c r="BB407" s="67"/>
      <c r="BC407" s="77"/>
      <c r="BD407" s="67"/>
      <c r="BE407" s="67"/>
      <c r="BF407" s="67"/>
      <c r="BG407" s="67"/>
      <c r="BH407" s="77">
        <f t="shared" si="1322"/>
        <v>0</v>
      </c>
      <c r="BI407" s="68"/>
      <c r="BJ407" s="68"/>
      <c r="BK407" s="68"/>
      <c r="BL407" s="68"/>
    </row>
    <row r="408" spans="3:66" s="38" customFormat="1" ht="12.75" customHeight="1">
      <c r="C408" s="84" t="s">
        <v>221</v>
      </c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39">
        <v>0</v>
      </c>
      <c r="V408" s="39">
        <v>0</v>
      </c>
      <c r="W408" s="39">
        <v>0</v>
      </c>
      <c r="X408" s="38">
        <f t="shared" si="1313"/>
        <v>0</v>
      </c>
      <c r="Y408" s="48">
        <v>0</v>
      </c>
      <c r="Z408" s="39">
        <v>0</v>
      </c>
      <c r="AA408" s="39">
        <v>0</v>
      </c>
      <c r="AB408" s="39">
        <v>0</v>
      </c>
      <c r="AC408" s="38">
        <f t="shared" si="1314"/>
        <v>-654</v>
      </c>
      <c r="AD408" s="48">
        <v>-654</v>
      </c>
      <c r="AE408" s="39">
        <v>-766</v>
      </c>
      <c r="AF408" s="39">
        <v>-881</v>
      </c>
      <c r="AG408" s="39">
        <v>-505</v>
      </c>
      <c r="AH408" s="38">
        <f t="shared" si="1315"/>
        <v>-309</v>
      </c>
      <c r="AI408" s="48">
        <v>-2461</v>
      </c>
      <c r="AJ408" s="39">
        <v>-118</v>
      </c>
      <c r="AK408" s="39">
        <v>-104</v>
      </c>
      <c r="AL408" s="39">
        <v>-50</v>
      </c>
      <c r="AM408" s="38">
        <f t="shared" si="1316"/>
        <v>-43</v>
      </c>
      <c r="AN408" s="48">
        <v>-315</v>
      </c>
      <c r="AO408" s="39"/>
      <c r="AP408" s="39"/>
      <c r="AQ408" s="39"/>
      <c r="AR408" s="40">
        <f t="shared" si="1317"/>
        <v>0</v>
      </c>
      <c r="AS408" s="48">
        <v>0</v>
      </c>
      <c r="AT408" s="39"/>
      <c r="AU408" s="39"/>
      <c r="AV408" s="39"/>
      <c r="AW408" s="40">
        <f t="shared" si="1318"/>
        <v>0</v>
      </c>
      <c r="AX408" s="48">
        <v>0</v>
      </c>
      <c r="AY408" s="67"/>
      <c r="AZ408" s="67"/>
      <c r="BA408" s="67"/>
      <c r="BB408" s="67"/>
      <c r="BC408" s="77"/>
      <c r="BD408" s="67"/>
      <c r="BE408" s="67"/>
      <c r="BF408" s="67"/>
      <c r="BG408" s="67"/>
      <c r="BH408" s="77">
        <f t="shared" si="1322"/>
        <v>0</v>
      </c>
      <c r="BI408" s="68"/>
      <c r="BJ408" s="68"/>
      <c r="BK408" s="68"/>
      <c r="BL408" s="68"/>
    </row>
    <row r="409" spans="3:66" s="38" customFormat="1" ht="12.75" customHeight="1">
      <c r="C409" s="84" t="s">
        <v>239</v>
      </c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39">
        <v>0</v>
      </c>
      <c r="V409" s="39">
        <v>0</v>
      </c>
      <c r="W409" s="39">
        <v>0</v>
      </c>
      <c r="X409" s="38">
        <f t="shared" si="1313"/>
        <v>0</v>
      </c>
      <c r="Y409" s="48">
        <v>0</v>
      </c>
      <c r="Z409" s="39"/>
      <c r="AA409" s="39"/>
      <c r="AB409" s="39"/>
      <c r="AC409" s="38">
        <f t="shared" si="1314"/>
        <v>-1883</v>
      </c>
      <c r="AD409" s="48">
        <v>-1883</v>
      </c>
      <c r="AE409" s="39"/>
      <c r="AF409" s="39"/>
      <c r="AG409" s="39"/>
      <c r="AH409" s="38">
        <f t="shared" si="1315"/>
        <v>0</v>
      </c>
      <c r="AI409" s="48">
        <v>0</v>
      </c>
      <c r="AJ409" s="39"/>
      <c r="AK409" s="39"/>
      <c r="AL409" s="39"/>
      <c r="AM409" s="38">
        <f t="shared" si="1316"/>
        <v>0</v>
      </c>
      <c r="AN409" s="48"/>
      <c r="AO409" s="39"/>
      <c r="AP409" s="39"/>
      <c r="AQ409" s="39"/>
      <c r="AR409" s="40"/>
      <c r="AS409" s="48"/>
      <c r="AT409" s="39"/>
      <c r="AU409" s="39"/>
      <c r="AV409" s="39"/>
      <c r="AW409" s="40"/>
      <c r="AX409" s="48"/>
      <c r="AY409" s="67"/>
      <c r="AZ409" s="67"/>
      <c r="BA409" s="67"/>
      <c r="BB409" s="67"/>
      <c r="BC409" s="77"/>
      <c r="BD409" s="67"/>
      <c r="BE409" s="67"/>
      <c r="BF409" s="67"/>
      <c r="BG409" s="67"/>
      <c r="BH409" s="77">
        <f t="shared" si="1322"/>
        <v>0</v>
      </c>
      <c r="BI409" s="68"/>
      <c r="BJ409" s="68"/>
      <c r="BK409" s="68"/>
      <c r="BL409" s="68"/>
    </row>
    <row r="410" spans="3:66" s="38" customFormat="1" ht="12.75" customHeight="1">
      <c r="C410" s="38" t="s">
        <v>220</v>
      </c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39">
        <v>0</v>
      </c>
      <c r="V410" s="39">
        <v>0</v>
      </c>
      <c r="W410" s="39">
        <v>0</v>
      </c>
      <c r="X410" s="38">
        <f t="shared" si="1313"/>
        <v>0</v>
      </c>
      <c r="Y410" s="48"/>
      <c r="Z410" s="39"/>
      <c r="AA410" s="39">
        <v>0</v>
      </c>
      <c r="AB410" s="39">
        <v>0</v>
      </c>
      <c r="AC410" s="38">
        <f t="shared" si="1314"/>
        <v>0</v>
      </c>
      <c r="AD410" s="48"/>
      <c r="AE410" s="39"/>
      <c r="AF410" s="39">
        <v>0</v>
      </c>
      <c r="AG410" s="39">
        <v>0</v>
      </c>
      <c r="AH410" s="38">
        <f t="shared" si="1315"/>
        <v>0</v>
      </c>
      <c r="AI410" s="48"/>
      <c r="AJ410" s="39"/>
      <c r="AK410" s="39">
        <v>0</v>
      </c>
      <c r="AL410" s="39">
        <v>0</v>
      </c>
      <c r="AM410" s="38">
        <f t="shared" si="1316"/>
        <v>0</v>
      </c>
      <c r="AN410" s="48">
        <v>0</v>
      </c>
      <c r="AO410" s="39"/>
      <c r="AP410" s="39"/>
      <c r="AQ410" s="39">
        <v>0</v>
      </c>
      <c r="AR410" s="40">
        <f t="shared" si="1317"/>
        <v>0</v>
      </c>
      <c r="AS410" s="48">
        <v>0</v>
      </c>
      <c r="AT410" s="39"/>
      <c r="AU410" s="39"/>
      <c r="AV410" s="39">
        <v>-38</v>
      </c>
      <c r="AW410" s="40">
        <f t="shared" si="1318"/>
        <v>0</v>
      </c>
      <c r="AX410" s="48">
        <v>-38</v>
      </c>
      <c r="AY410" s="67"/>
      <c r="AZ410" s="67"/>
      <c r="BA410" s="67"/>
      <c r="BB410" s="67"/>
      <c r="BC410" s="77"/>
      <c r="BD410" s="67"/>
      <c r="BE410" s="67"/>
      <c r="BF410" s="67"/>
      <c r="BG410" s="67"/>
      <c r="BH410" s="77">
        <f t="shared" si="1322"/>
        <v>0</v>
      </c>
      <c r="BI410" s="68"/>
      <c r="BJ410" s="68"/>
      <c r="BK410" s="68"/>
      <c r="BL410" s="68"/>
    </row>
    <row r="411" spans="3:66" s="38" customFormat="1" ht="12.75" customHeight="1">
      <c r="C411" s="38" t="s">
        <v>225</v>
      </c>
      <c r="E411" s="48">
        <v>0</v>
      </c>
      <c r="F411" s="48">
        <v>0</v>
      </c>
      <c r="G411" s="48">
        <v>0</v>
      </c>
      <c r="H411" s="48">
        <v>0</v>
      </c>
      <c r="I411" s="48">
        <v>0</v>
      </c>
      <c r="J411" s="48">
        <v>0</v>
      </c>
      <c r="K411" s="48">
        <v>0</v>
      </c>
      <c r="L411" s="48">
        <v>0</v>
      </c>
      <c r="M411" s="48">
        <v>0</v>
      </c>
      <c r="N411" s="48">
        <v>0</v>
      </c>
      <c r="O411" s="48">
        <v>0</v>
      </c>
      <c r="P411" s="48">
        <v>0</v>
      </c>
      <c r="Q411" s="48">
        <v>0</v>
      </c>
      <c r="R411" s="48">
        <v>0</v>
      </c>
      <c r="S411" s="48">
        <v>60</v>
      </c>
      <c r="T411" s="48">
        <v>49</v>
      </c>
      <c r="U411" s="39">
        <v>0</v>
      </c>
      <c r="V411" s="39">
        <v>0</v>
      </c>
      <c r="W411" s="39">
        <v>-55</v>
      </c>
      <c r="X411" s="38">
        <f t="shared" si="1313"/>
        <v>-20</v>
      </c>
      <c r="Y411" s="48">
        <v>-75</v>
      </c>
      <c r="Z411" s="39">
        <v>-10</v>
      </c>
      <c r="AA411" s="39">
        <v>-5</v>
      </c>
      <c r="AB411" s="39">
        <v>-10</v>
      </c>
      <c r="AC411" s="38">
        <f t="shared" si="1314"/>
        <v>-13</v>
      </c>
      <c r="AD411" s="48">
        <v>-38</v>
      </c>
      <c r="AE411" s="39">
        <v>0</v>
      </c>
      <c r="AF411" s="39">
        <v>0</v>
      </c>
      <c r="AG411" s="39">
        <v>0</v>
      </c>
      <c r="AH411" s="38">
        <f t="shared" si="1315"/>
        <v>0</v>
      </c>
      <c r="AI411" s="48">
        <v>0</v>
      </c>
      <c r="AJ411" s="39"/>
      <c r="AK411" s="39"/>
      <c r="AL411" s="39"/>
      <c r="AM411" s="38">
        <f t="shared" si="1316"/>
        <v>0</v>
      </c>
      <c r="AN411" s="48"/>
      <c r="AO411" s="39"/>
      <c r="AP411" s="39"/>
      <c r="AQ411" s="39"/>
      <c r="AR411" s="40"/>
      <c r="AS411" s="48"/>
      <c r="AT411" s="39"/>
      <c r="AU411" s="39"/>
      <c r="AV411" s="39"/>
      <c r="AW411" s="40"/>
      <c r="AX411" s="48"/>
      <c r="AY411" s="67"/>
      <c r="AZ411" s="67"/>
      <c r="BA411" s="67"/>
      <c r="BB411" s="67"/>
      <c r="BC411" s="77"/>
      <c r="BD411" s="67"/>
      <c r="BE411" s="67"/>
      <c r="BF411" s="67"/>
      <c r="BG411" s="67"/>
      <c r="BH411" s="77">
        <f t="shared" si="1322"/>
        <v>0</v>
      </c>
      <c r="BI411" s="68"/>
      <c r="BJ411" s="68"/>
      <c r="BK411" s="68"/>
      <c r="BL411" s="68"/>
    </row>
    <row r="412" spans="3:66" s="38" customFormat="1" ht="12.75" customHeight="1">
      <c r="C412" s="38" t="s">
        <v>72</v>
      </c>
      <c r="E412" s="48">
        <v>0</v>
      </c>
      <c r="F412" s="48">
        <v>0</v>
      </c>
      <c r="G412" s="48">
        <v>0</v>
      </c>
      <c r="H412" s="48">
        <v>0</v>
      </c>
      <c r="I412" s="48">
        <v>0</v>
      </c>
      <c r="J412" s="48">
        <v>0</v>
      </c>
      <c r="K412" s="48">
        <v>0</v>
      </c>
      <c r="L412" s="48">
        <v>0</v>
      </c>
      <c r="M412" s="48">
        <v>0</v>
      </c>
      <c r="N412" s="48">
        <v>0</v>
      </c>
      <c r="O412" s="48">
        <v>0</v>
      </c>
      <c r="P412" s="48">
        <v>0</v>
      </c>
      <c r="Q412" s="48">
        <v>0</v>
      </c>
      <c r="R412" s="48">
        <v>0</v>
      </c>
      <c r="S412" s="48">
        <v>-2</v>
      </c>
      <c r="T412" s="48">
        <v>-3</v>
      </c>
      <c r="U412" s="39">
        <v>-2</v>
      </c>
      <c r="V412" s="39">
        <v>0</v>
      </c>
      <c r="W412" s="39">
        <v>0</v>
      </c>
      <c r="X412" s="38">
        <f t="shared" si="1313"/>
        <v>0</v>
      </c>
      <c r="Y412" s="48">
        <v>-2</v>
      </c>
      <c r="Z412" s="39">
        <v>0</v>
      </c>
      <c r="AA412" s="39">
        <v>0</v>
      </c>
      <c r="AB412" s="39">
        <v>0</v>
      </c>
      <c r="AC412" s="38">
        <f t="shared" si="1314"/>
        <v>-9</v>
      </c>
      <c r="AD412" s="48">
        <v>-9</v>
      </c>
      <c r="AE412" s="39">
        <v>-4</v>
      </c>
      <c r="AF412" s="39">
        <v>0</v>
      </c>
      <c r="AG412" s="39">
        <v>0</v>
      </c>
      <c r="AH412" s="38">
        <f t="shared" si="1315"/>
        <v>-16</v>
      </c>
      <c r="AI412" s="48">
        <v>-20</v>
      </c>
      <c r="AJ412" s="39">
        <v>-1</v>
      </c>
      <c r="AK412" s="39">
        <v>1</v>
      </c>
      <c r="AL412" s="39">
        <v>-3</v>
      </c>
      <c r="AM412" s="38">
        <f t="shared" si="1316"/>
        <v>-6</v>
      </c>
      <c r="AN412" s="48">
        <v>-9</v>
      </c>
      <c r="AO412" s="39">
        <v>-2</v>
      </c>
      <c r="AP412" s="39">
        <v>-1</v>
      </c>
      <c r="AQ412" s="39">
        <v>-1</v>
      </c>
      <c r="AR412" s="40">
        <f t="shared" si="1317"/>
        <v>0</v>
      </c>
      <c r="AS412" s="48">
        <v>-4</v>
      </c>
      <c r="AT412" s="39">
        <v>-3</v>
      </c>
      <c r="AU412" s="39">
        <v>-4</v>
      </c>
      <c r="AV412" s="39">
        <v>-2</v>
      </c>
      <c r="AW412" s="40">
        <f t="shared" si="1318"/>
        <v>-2</v>
      </c>
      <c r="AX412" s="48">
        <v>-11</v>
      </c>
      <c r="AY412" s="67">
        <v>0</v>
      </c>
      <c r="AZ412" s="67">
        <v>0</v>
      </c>
      <c r="BA412" s="67">
        <v>0</v>
      </c>
      <c r="BB412" s="67">
        <v>0</v>
      </c>
      <c r="BC412" s="77">
        <f>SUM(AY412:BB412)</f>
        <v>0</v>
      </c>
      <c r="BD412" s="67">
        <v>0</v>
      </c>
      <c r="BE412" s="67">
        <v>0</v>
      </c>
      <c r="BF412" s="67">
        <v>0</v>
      </c>
      <c r="BG412" s="67">
        <v>0</v>
      </c>
      <c r="BH412" s="77">
        <f t="shared" si="1322"/>
        <v>0</v>
      </c>
      <c r="BI412" s="68">
        <v>0</v>
      </c>
      <c r="BJ412" s="68">
        <v>0</v>
      </c>
      <c r="BK412" s="68">
        <v>0</v>
      </c>
      <c r="BL412" s="68">
        <v>0</v>
      </c>
    </row>
    <row r="413" spans="3:66" s="38" customFormat="1" ht="12.75" customHeight="1">
      <c r="C413" s="38" t="s">
        <v>216</v>
      </c>
      <c r="E413" s="48">
        <v>28</v>
      </c>
      <c r="F413" s="48">
        <v>28</v>
      </c>
      <c r="G413" s="48">
        <v>28</v>
      </c>
      <c r="H413" s="48">
        <v>28</v>
      </c>
      <c r="I413" s="48">
        <v>28</v>
      </c>
      <c r="J413" s="48">
        <v>28</v>
      </c>
      <c r="K413" s="48">
        <v>28</v>
      </c>
      <c r="L413" s="48">
        <v>28</v>
      </c>
      <c r="M413" s="48">
        <v>28</v>
      </c>
      <c r="N413" s="48">
        <v>28</v>
      </c>
      <c r="O413" s="48">
        <v>28</v>
      </c>
      <c r="P413" s="48">
        <v>28</v>
      </c>
      <c r="Q413" s="48">
        <v>28</v>
      </c>
      <c r="R413" s="48">
        <v>28</v>
      </c>
      <c r="S413" s="48">
        <v>-14</v>
      </c>
      <c r="T413" s="48">
        <v>1</v>
      </c>
      <c r="U413" s="39">
        <v>-4</v>
      </c>
      <c r="V413" s="39">
        <v>7</v>
      </c>
      <c r="W413" s="39">
        <v>15</v>
      </c>
      <c r="X413" s="38">
        <f t="shared" si="1313"/>
        <v>28</v>
      </c>
      <c r="Y413" s="48">
        <v>46</v>
      </c>
      <c r="Z413" s="39">
        <v>-12</v>
      </c>
      <c r="AA413" s="39">
        <v>4</v>
      </c>
      <c r="AB413" s="39">
        <v>-14</v>
      </c>
      <c r="AC413" s="38">
        <f t="shared" si="1314"/>
        <v>-12</v>
      </c>
      <c r="AD413" s="48">
        <v>-34</v>
      </c>
      <c r="AE413" s="39">
        <v>-1</v>
      </c>
      <c r="AF413" s="39">
        <v>-24</v>
      </c>
      <c r="AG413" s="39">
        <v>-25</v>
      </c>
      <c r="AH413" s="38">
        <f t="shared" si="1315"/>
        <v>25</v>
      </c>
      <c r="AI413" s="48">
        <v>-25</v>
      </c>
      <c r="AJ413" s="39">
        <v>11</v>
      </c>
      <c r="AK413" s="39">
        <v>2</v>
      </c>
      <c r="AL413" s="39">
        <v>-10</v>
      </c>
      <c r="AM413" s="38">
        <f t="shared" si="1316"/>
        <v>22</v>
      </c>
      <c r="AN413" s="48">
        <v>25</v>
      </c>
      <c r="AO413" s="39">
        <v>-13</v>
      </c>
      <c r="AP413" s="39">
        <v>-2</v>
      </c>
      <c r="AQ413" s="39">
        <v>15</v>
      </c>
      <c r="AR413" s="40">
        <f t="shared" si="1317"/>
        <v>-26</v>
      </c>
      <c r="AS413" s="48">
        <v>-26</v>
      </c>
      <c r="AT413" s="39">
        <v>9</v>
      </c>
      <c r="AU413" s="39">
        <v>21</v>
      </c>
      <c r="AV413" s="39">
        <v>-1</v>
      </c>
      <c r="AW413" s="40">
        <f t="shared" si="1318"/>
        <v>3</v>
      </c>
      <c r="AX413" s="48">
        <v>32</v>
      </c>
      <c r="AY413" s="67">
        <v>0</v>
      </c>
      <c r="AZ413" s="67">
        <v>0</v>
      </c>
      <c r="BA413" s="67">
        <v>0</v>
      </c>
      <c r="BB413" s="67">
        <v>0</v>
      </c>
      <c r="BC413" s="77">
        <f>SUM(AY413:BB413)</f>
        <v>0</v>
      </c>
      <c r="BD413" s="67">
        <v>0</v>
      </c>
      <c r="BE413" s="67">
        <v>0</v>
      </c>
      <c r="BF413" s="67">
        <v>0</v>
      </c>
      <c r="BG413" s="67">
        <v>0</v>
      </c>
      <c r="BH413" s="77">
        <f t="shared" si="1322"/>
        <v>0</v>
      </c>
      <c r="BI413" s="68">
        <v>0</v>
      </c>
      <c r="BJ413" s="68">
        <v>0</v>
      </c>
      <c r="BK413" s="68">
        <v>0</v>
      </c>
      <c r="BL413" s="68">
        <v>0</v>
      </c>
    </row>
    <row r="414" spans="3:66" s="38" customFormat="1" ht="12.75" customHeight="1">
      <c r="C414" s="38" t="s">
        <v>68</v>
      </c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>
        <v>0</v>
      </c>
      <c r="U414" s="70">
        <v>0</v>
      </c>
      <c r="V414" s="70">
        <v>0</v>
      </c>
      <c r="W414" s="70">
        <v>0</v>
      </c>
      <c r="X414" s="65">
        <f t="shared" si="1313"/>
        <v>0</v>
      </c>
      <c r="Y414" s="69">
        <v>0</v>
      </c>
      <c r="Z414" s="70">
        <v>0</v>
      </c>
      <c r="AA414" s="70">
        <v>0</v>
      </c>
      <c r="AB414" s="70">
        <v>0</v>
      </c>
      <c r="AC414" s="65">
        <f t="shared" si="1314"/>
        <v>0</v>
      </c>
      <c r="AD414" s="69">
        <v>0</v>
      </c>
      <c r="AE414" s="70">
        <v>0</v>
      </c>
      <c r="AF414" s="70">
        <v>0</v>
      </c>
      <c r="AG414" s="70">
        <v>0</v>
      </c>
      <c r="AH414" s="65">
        <f t="shared" si="1315"/>
        <v>0</v>
      </c>
      <c r="AI414" s="69">
        <v>0</v>
      </c>
      <c r="AJ414" s="70">
        <v>0</v>
      </c>
      <c r="AK414" s="70">
        <v>0</v>
      </c>
      <c r="AL414" s="70">
        <v>0</v>
      </c>
      <c r="AM414" s="65">
        <f t="shared" ref="AM414" si="1325">AN414-SUM(AJ414:AL414)</f>
        <v>0</v>
      </c>
      <c r="AN414" s="69">
        <v>0</v>
      </c>
      <c r="AO414" s="70">
        <v>0</v>
      </c>
      <c r="AP414" s="70">
        <v>0</v>
      </c>
      <c r="AQ414" s="70">
        <v>0</v>
      </c>
      <c r="AR414" s="65">
        <f t="shared" si="1317"/>
        <v>0</v>
      </c>
      <c r="AS414" s="69">
        <v>0</v>
      </c>
      <c r="AT414" s="70">
        <v>0</v>
      </c>
      <c r="AU414" s="70">
        <v>0</v>
      </c>
      <c r="AV414" s="70">
        <v>0</v>
      </c>
      <c r="AW414" s="65">
        <f t="shared" si="1318"/>
        <v>0</v>
      </c>
      <c r="AX414" s="69">
        <v>0</v>
      </c>
      <c r="AY414" s="64">
        <v>0</v>
      </c>
      <c r="AZ414" s="64">
        <v>0</v>
      </c>
      <c r="BA414" s="64">
        <v>0</v>
      </c>
      <c r="BB414" s="64">
        <v>0</v>
      </c>
      <c r="BC414" s="79">
        <f>SUM(AY414:BB414)</f>
        <v>0</v>
      </c>
      <c r="BD414" s="64">
        <v>0</v>
      </c>
      <c r="BE414" s="64">
        <v>0</v>
      </c>
      <c r="BF414" s="64">
        <v>0</v>
      </c>
      <c r="BG414" s="64">
        <v>0</v>
      </c>
      <c r="BH414" s="79">
        <f>SUM(BD414:BG414)</f>
        <v>0</v>
      </c>
      <c r="BI414" s="72">
        <f>BH414</f>
        <v>0</v>
      </c>
      <c r="BJ414" s="72">
        <f>BI414</f>
        <v>0</v>
      </c>
      <c r="BK414" s="72">
        <f>BJ414</f>
        <v>0</v>
      </c>
      <c r="BL414" s="72">
        <f>BK414</f>
        <v>0</v>
      </c>
      <c r="BM414" s="41"/>
      <c r="BN414" s="41"/>
    </row>
    <row r="415" spans="3:66" s="41" customFormat="1" ht="12.75" customHeight="1">
      <c r="C415" s="41" t="s">
        <v>27</v>
      </c>
      <c r="E415" s="49">
        <f t="shared" ref="E415:Q415" si="1326">SUM(E395:E414)</f>
        <v>1016</v>
      </c>
      <c r="F415" s="49">
        <f t="shared" si="1326"/>
        <v>1016</v>
      </c>
      <c r="G415" s="49">
        <f t="shared" si="1326"/>
        <v>1016</v>
      </c>
      <c r="H415" s="49">
        <f t="shared" si="1326"/>
        <v>1016</v>
      </c>
      <c r="I415" s="49">
        <f t="shared" si="1326"/>
        <v>1016</v>
      </c>
      <c r="J415" s="49">
        <f t="shared" si="1326"/>
        <v>1016</v>
      </c>
      <c r="K415" s="49">
        <f t="shared" si="1326"/>
        <v>1016</v>
      </c>
      <c r="L415" s="49">
        <f t="shared" si="1326"/>
        <v>1016</v>
      </c>
      <c r="M415" s="49">
        <f t="shared" si="1326"/>
        <v>1016</v>
      </c>
      <c r="N415" s="49">
        <f t="shared" si="1326"/>
        <v>1016</v>
      </c>
      <c r="O415" s="49">
        <f t="shared" si="1326"/>
        <v>1016</v>
      </c>
      <c r="P415" s="49">
        <f t="shared" si="1326"/>
        <v>1016</v>
      </c>
      <c r="Q415" s="49">
        <f t="shared" si="1326"/>
        <v>1016</v>
      </c>
      <c r="R415" s="49">
        <f t="shared" ref="R415:BL415" si="1327">SUM(R395:R414)</f>
        <v>1016</v>
      </c>
      <c r="S415" s="49">
        <f t="shared" si="1327"/>
        <v>1547</v>
      </c>
      <c r="T415" s="49">
        <f t="shared" si="1327"/>
        <v>1475</v>
      </c>
      <c r="U415" s="60">
        <f t="shared" si="1327"/>
        <v>1697</v>
      </c>
      <c r="V415" s="60">
        <f t="shared" si="1327"/>
        <v>-1472</v>
      </c>
      <c r="W415" s="60">
        <f t="shared" si="1327"/>
        <v>-4253</v>
      </c>
      <c r="X415" s="60">
        <f t="shared" si="1327"/>
        <v>-1298</v>
      </c>
      <c r="Y415" s="49">
        <f t="shared" si="1327"/>
        <v>-5326</v>
      </c>
      <c r="Z415" s="60">
        <f t="shared" si="1327"/>
        <v>680</v>
      </c>
      <c r="AA415" s="60">
        <f t="shared" si="1327"/>
        <v>2288</v>
      </c>
      <c r="AB415" s="60">
        <f t="shared" si="1327"/>
        <v>152</v>
      </c>
      <c r="AC415" s="60">
        <f t="shared" si="1327"/>
        <v>-309</v>
      </c>
      <c r="AD415" s="49">
        <f t="shared" si="1327"/>
        <v>2811</v>
      </c>
      <c r="AE415" s="60">
        <f t="shared" si="1327"/>
        <v>388</v>
      </c>
      <c r="AF415" s="60">
        <f t="shared" si="1327"/>
        <v>446</v>
      </c>
      <c r="AG415" s="60">
        <f t="shared" si="1327"/>
        <v>-765</v>
      </c>
      <c r="AH415" s="60">
        <f t="shared" si="1327"/>
        <v>393</v>
      </c>
      <c r="AI415" s="49">
        <f t="shared" si="1327"/>
        <v>462</v>
      </c>
      <c r="AJ415" s="60">
        <f t="shared" si="1327"/>
        <v>750</v>
      </c>
      <c r="AK415" s="60">
        <f t="shared" si="1327"/>
        <v>1664</v>
      </c>
      <c r="AL415" s="60">
        <f t="shared" si="1327"/>
        <v>-578</v>
      </c>
      <c r="AM415" s="60">
        <f t="shared" si="1327"/>
        <v>-498</v>
      </c>
      <c r="AN415" s="49">
        <f t="shared" si="1327"/>
        <v>1338</v>
      </c>
      <c r="AO415" s="60">
        <f t="shared" si="1327"/>
        <v>72</v>
      </c>
      <c r="AP415" s="60">
        <f t="shared" si="1327"/>
        <v>1580</v>
      </c>
      <c r="AQ415" s="60">
        <f t="shared" si="1327"/>
        <v>-496</v>
      </c>
      <c r="AR415" s="60">
        <f t="shared" si="1327"/>
        <v>-524</v>
      </c>
      <c r="AS415" s="49">
        <f t="shared" si="1327"/>
        <v>632</v>
      </c>
      <c r="AT415" s="60">
        <f t="shared" si="1327"/>
        <v>355</v>
      </c>
      <c r="AU415" s="60">
        <f t="shared" si="1327"/>
        <v>608</v>
      </c>
      <c r="AV415" s="60">
        <f t="shared" si="1327"/>
        <v>-257</v>
      </c>
      <c r="AW415" s="60">
        <f t="shared" si="1327"/>
        <v>-302</v>
      </c>
      <c r="AX415" s="49">
        <f t="shared" si="1327"/>
        <v>404</v>
      </c>
      <c r="AY415" s="60">
        <f t="shared" ca="1" si="1327"/>
        <v>-464.17622603638767</v>
      </c>
      <c r="AZ415" s="60">
        <f t="shared" ca="1" si="1327"/>
        <v>-410.93306943214509</v>
      </c>
      <c r="BA415" s="60">
        <f t="shared" ca="1" si="1327"/>
        <v>-650.49921204796146</v>
      </c>
      <c r="BB415" s="60">
        <f t="shared" ca="1" si="1327"/>
        <v>-301.79377153977379</v>
      </c>
      <c r="BC415" s="49">
        <f t="shared" ca="1" si="1327"/>
        <v>-1827.4022790562681</v>
      </c>
      <c r="BD415" s="60">
        <f t="shared" ref="BD415:BH415" ca="1" si="1328">SUM(BD395:BD414)</f>
        <v>-259.36835542699896</v>
      </c>
      <c r="BE415" s="60">
        <f t="shared" ca="1" si="1328"/>
        <v>-475.99239910861598</v>
      </c>
      <c r="BF415" s="60">
        <f t="shared" ca="1" si="1328"/>
        <v>-722.19948018023763</v>
      </c>
      <c r="BG415" s="60">
        <f t="shared" ca="1" si="1328"/>
        <v>-367.31390563980602</v>
      </c>
      <c r="BH415" s="49">
        <f t="shared" ca="1" si="1328"/>
        <v>-1824.8741403556585</v>
      </c>
      <c r="BI415" s="49">
        <f t="shared" ca="1" si="1327"/>
        <v>-2177.974491651662</v>
      </c>
      <c r="BJ415" s="49">
        <f t="shared" ca="1" si="1327"/>
        <v>-2544.3935697888533</v>
      </c>
      <c r="BK415" s="49">
        <f t="shared" ca="1" si="1327"/>
        <v>-2953.6466682499918</v>
      </c>
      <c r="BL415" s="49">
        <f t="shared" ca="1" si="1327"/>
        <v>-3400.0150472372411</v>
      </c>
    </row>
    <row r="416" spans="3:66" s="38" customFormat="1" ht="12.75" customHeight="1"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5"/>
      <c r="V416" s="55"/>
      <c r="W416" s="55"/>
      <c r="X416" s="55"/>
      <c r="Y416" s="50"/>
      <c r="Z416" s="55"/>
      <c r="AA416" s="55"/>
      <c r="AB416" s="55"/>
      <c r="AC416" s="55"/>
      <c r="AD416" s="50"/>
      <c r="AE416" s="55"/>
      <c r="AF416" s="55"/>
      <c r="AG416" s="55"/>
      <c r="AH416" s="55"/>
      <c r="AI416" s="50"/>
      <c r="AJ416" s="55"/>
      <c r="AK416" s="55"/>
      <c r="AL416" s="55"/>
      <c r="AM416" s="55"/>
      <c r="AN416" s="50"/>
      <c r="AO416" s="55"/>
      <c r="AP416" s="55"/>
      <c r="AQ416" s="55"/>
      <c r="AR416" s="55"/>
      <c r="AS416" s="50"/>
      <c r="AT416" s="55"/>
      <c r="AX416" s="50"/>
      <c r="AY416" s="55"/>
      <c r="BC416" s="50"/>
      <c r="BD416" s="55"/>
      <c r="BH416" s="50"/>
      <c r="BI416" s="50"/>
      <c r="BJ416" s="50"/>
      <c r="BK416" s="50"/>
      <c r="BL416" s="50"/>
    </row>
    <row r="417" spans="3:64" s="38" customFormat="1" ht="12.75" customHeight="1">
      <c r="C417" s="38" t="s">
        <v>28</v>
      </c>
      <c r="E417" s="48">
        <v>1094</v>
      </c>
      <c r="F417" s="48">
        <v>1094</v>
      </c>
      <c r="G417" s="48">
        <v>1094</v>
      </c>
      <c r="H417" s="48">
        <v>1094</v>
      </c>
      <c r="I417" s="48">
        <v>1094</v>
      </c>
      <c r="J417" s="48">
        <v>1094</v>
      </c>
      <c r="K417" s="48">
        <v>1094</v>
      </c>
      <c r="L417" s="48">
        <v>1094</v>
      </c>
      <c r="M417" s="48">
        <v>1094</v>
      </c>
      <c r="N417" s="48">
        <v>1094</v>
      </c>
      <c r="O417" s="48">
        <v>1094</v>
      </c>
      <c r="P417" s="48">
        <v>1094</v>
      </c>
      <c r="Q417" s="48">
        <v>1094</v>
      </c>
      <c r="R417" s="48">
        <v>1094</v>
      </c>
      <c r="S417" s="77">
        <f>R419</f>
        <v>1504</v>
      </c>
      <c r="T417" s="77">
        <f>S419</f>
        <v>1410</v>
      </c>
      <c r="U417" s="40">
        <f>T7+T8</f>
        <v>1360</v>
      </c>
      <c r="V417" s="40">
        <f>U7+U8</f>
        <v>1409</v>
      </c>
      <c r="W417" s="40">
        <f>V7+V8</f>
        <v>2311</v>
      </c>
      <c r="X417" s="40">
        <f>W7+W8</f>
        <v>1882</v>
      </c>
      <c r="Y417" s="77">
        <f>T419</f>
        <v>1359</v>
      </c>
      <c r="Z417" s="40">
        <f>Y7+Y8</f>
        <v>1507</v>
      </c>
      <c r="AA417" s="40">
        <f>Z7+Z8</f>
        <v>2440</v>
      </c>
      <c r="AB417" s="40">
        <f>AA7+AA8</f>
        <v>2695</v>
      </c>
      <c r="AC417" s="40">
        <f>AB7+AB8</f>
        <v>3466</v>
      </c>
      <c r="AD417" s="77">
        <f>Z417</f>
        <v>1507</v>
      </c>
      <c r="AE417" s="40">
        <f>AD7+AD8</f>
        <v>2651</v>
      </c>
      <c r="AF417" s="40">
        <f>AE7+AE8</f>
        <v>2122</v>
      </c>
      <c r="AG417" s="40">
        <f>AF7+AF8</f>
        <v>1563</v>
      </c>
      <c r="AH417" s="40">
        <f>AG7+AG8</f>
        <v>1508</v>
      </c>
      <c r="AI417" s="77">
        <f>AE417</f>
        <v>2651</v>
      </c>
      <c r="AJ417" s="40">
        <f>AI7+AI8</f>
        <v>1418</v>
      </c>
      <c r="AK417" s="40">
        <f>AJ7+AJ8</f>
        <v>1242</v>
      </c>
      <c r="AL417" s="40">
        <f>AK7+AK8</f>
        <v>1166</v>
      </c>
      <c r="AM417" s="40">
        <f>AL7+AL8</f>
        <v>1056</v>
      </c>
      <c r="AN417" s="77">
        <f>AJ417</f>
        <v>1418</v>
      </c>
      <c r="AO417" s="40">
        <f>AN7+AN8</f>
        <v>1206</v>
      </c>
      <c r="AP417" s="40">
        <f>AO7+AO8</f>
        <v>945</v>
      </c>
      <c r="AQ417" s="40">
        <f>AP7+AP8</f>
        <v>994</v>
      </c>
      <c r="AR417" s="40">
        <f>AQ7+AQ8</f>
        <v>905</v>
      </c>
      <c r="AS417" s="77">
        <f>AO417</f>
        <v>1206</v>
      </c>
      <c r="AT417" s="40">
        <f>AS7+AS8</f>
        <v>1133</v>
      </c>
      <c r="AU417" s="40">
        <f>AT7+AT8</f>
        <v>1021</v>
      </c>
      <c r="AV417" s="40">
        <f>AU7+AU8</f>
        <v>1129</v>
      </c>
      <c r="AW417" s="40">
        <f>AV7+AV8</f>
        <v>1549</v>
      </c>
      <c r="AX417" s="50">
        <f>AS419</f>
        <v>1133</v>
      </c>
      <c r="AY417" s="40">
        <f>AX419</f>
        <v>1167</v>
      </c>
      <c r="AZ417" s="40">
        <f ca="1">AY419</f>
        <v>902</v>
      </c>
      <c r="BA417" s="40">
        <f ca="1">AZ419</f>
        <v>902</v>
      </c>
      <c r="BB417" s="40">
        <f ca="1">BA419</f>
        <v>902</v>
      </c>
      <c r="BC417" s="50">
        <f>AY417</f>
        <v>1167</v>
      </c>
      <c r="BD417" s="40">
        <f ca="1">BC419</f>
        <v>901.99999999999955</v>
      </c>
      <c r="BE417" s="40">
        <f ca="1">BD419</f>
        <v>901.99999999999955</v>
      </c>
      <c r="BF417" s="40">
        <f ca="1">BE419</f>
        <v>902</v>
      </c>
      <c r="BG417" s="40">
        <f ca="1">BF419</f>
        <v>902</v>
      </c>
      <c r="BH417" s="50">
        <f ca="1">BD417</f>
        <v>901.99999999999955</v>
      </c>
      <c r="BI417" s="50">
        <f ca="1">BH419</f>
        <v>901.99999999999955</v>
      </c>
      <c r="BJ417" s="50">
        <f ca="1">BI419</f>
        <v>901.99999999999955</v>
      </c>
      <c r="BK417" s="50">
        <f ca="1">BJ419</f>
        <v>901.99999999999955</v>
      </c>
      <c r="BL417" s="50">
        <f ca="1">BK419</f>
        <v>901.99999999999955</v>
      </c>
    </row>
    <row r="418" spans="3:64" s="38" customFormat="1" ht="12.75" customHeight="1">
      <c r="C418" s="43" t="s">
        <v>33</v>
      </c>
      <c r="E418" s="79">
        <f t="shared" ref="E418:Q418" si="1329">E415+E392+E381</f>
        <v>410</v>
      </c>
      <c r="F418" s="79">
        <f t="shared" si="1329"/>
        <v>410</v>
      </c>
      <c r="G418" s="79">
        <f t="shared" si="1329"/>
        <v>410</v>
      </c>
      <c r="H418" s="79">
        <f t="shared" si="1329"/>
        <v>410</v>
      </c>
      <c r="I418" s="79">
        <f t="shared" si="1329"/>
        <v>410</v>
      </c>
      <c r="J418" s="79">
        <f t="shared" si="1329"/>
        <v>410</v>
      </c>
      <c r="K418" s="79">
        <f t="shared" si="1329"/>
        <v>410</v>
      </c>
      <c r="L418" s="79">
        <f t="shared" si="1329"/>
        <v>410</v>
      </c>
      <c r="M418" s="79">
        <f t="shared" si="1329"/>
        <v>410</v>
      </c>
      <c r="N418" s="79">
        <f t="shared" si="1329"/>
        <v>410</v>
      </c>
      <c r="O418" s="79">
        <f t="shared" si="1329"/>
        <v>410</v>
      </c>
      <c r="P418" s="79">
        <f t="shared" si="1329"/>
        <v>410</v>
      </c>
      <c r="Q418" s="79">
        <f t="shared" si="1329"/>
        <v>410</v>
      </c>
      <c r="R418" s="79">
        <f t="shared" ref="R418:BL418" si="1330">R415+R392+R381</f>
        <v>410</v>
      </c>
      <c r="S418" s="79">
        <f t="shared" si="1330"/>
        <v>-94</v>
      </c>
      <c r="T418" s="79">
        <f t="shared" si="1330"/>
        <v>-51</v>
      </c>
      <c r="U418" s="80">
        <f t="shared" si="1330"/>
        <v>49</v>
      </c>
      <c r="V418" s="80">
        <f t="shared" si="1330"/>
        <v>902</v>
      </c>
      <c r="W418" s="80">
        <f t="shared" si="1330"/>
        <v>-429</v>
      </c>
      <c r="X418" s="80">
        <f t="shared" si="1330"/>
        <v>-304</v>
      </c>
      <c r="Y418" s="79">
        <f t="shared" si="1330"/>
        <v>218</v>
      </c>
      <c r="Z418" s="80">
        <f t="shared" si="1330"/>
        <v>862</v>
      </c>
      <c r="AA418" s="80">
        <f t="shared" si="1330"/>
        <v>255</v>
      </c>
      <c r="AB418" s="80">
        <f t="shared" si="1330"/>
        <v>771</v>
      </c>
      <c r="AC418" s="80">
        <f t="shared" si="1330"/>
        <v>-815</v>
      </c>
      <c r="AD418" s="79">
        <f t="shared" si="1330"/>
        <v>1073</v>
      </c>
      <c r="AE418" s="80">
        <f t="shared" si="1330"/>
        <v>-532</v>
      </c>
      <c r="AF418" s="80">
        <f t="shared" si="1330"/>
        <v>-556</v>
      </c>
      <c r="AG418" s="80">
        <f t="shared" si="1330"/>
        <v>-55</v>
      </c>
      <c r="AH418" s="80">
        <f t="shared" si="1330"/>
        <v>-90</v>
      </c>
      <c r="AI418" s="79">
        <f t="shared" si="1330"/>
        <v>-1233</v>
      </c>
      <c r="AJ418" s="80">
        <f t="shared" si="1330"/>
        <v>-176</v>
      </c>
      <c r="AK418" s="80">
        <f t="shared" si="1330"/>
        <v>-76</v>
      </c>
      <c r="AL418" s="80">
        <f t="shared" si="1330"/>
        <v>-110</v>
      </c>
      <c r="AM418" s="80">
        <f t="shared" si="1330"/>
        <v>150</v>
      </c>
      <c r="AN418" s="79">
        <f t="shared" si="1330"/>
        <v>-212</v>
      </c>
      <c r="AO418" s="80">
        <f t="shared" si="1330"/>
        <v>-261</v>
      </c>
      <c r="AP418" s="80">
        <f t="shared" si="1330"/>
        <v>49</v>
      </c>
      <c r="AQ418" s="80">
        <f t="shared" si="1330"/>
        <v>-89</v>
      </c>
      <c r="AR418" s="80">
        <f t="shared" si="1330"/>
        <v>228</v>
      </c>
      <c r="AS418" s="79">
        <f t="shared" si="1330"/>
        <v>-73</v>
      </c>
      <c r="AT418" s="80">
        <f t="shared" si="1330"/>
        <v>-112</v>
      </c>
      <c r="AU418" s="80">
        <f t="shared" si="1330"/>
        <v>108</v>
      </c>
      <c r="AV418" s="80">
        <f t="shared" si="1330"/>
        <v>420</v>
      </c>
      <c r="AW418" s="80">
        <f t="shared" si="1330"/>
        <v>-382</v>
      </c>
      <c r="AX418" s="79">
        <f t="shared" si="1330"/>
        <v>34</v>
      </c>
      <c r="AY418" s="80">
        <f t="shared" ca="1" si="1330"/>
        <v>-265</v>
      </c>
      <c r="AZ418" s="80">
        <f t="shared" ca="1" si="1330"/>
        <v>0</v>
      </c>
      <c r="BA418" s="80">
        <f t="shared" ca="1" si="1330"/>
        <v>0</v>
      </c>
      <c r="BB418" s="80">
        <f t="shared" ca="1" si="1330"/>
        <v>0</v>
      </c>
      <c r="BC418" s="79">
        <f t="shared" ca="1" si="1330"/>
        <v>-265.00000000000045</v>
      </c>
      <c r="BD418" s="80">
        <f t="shared" ref="BD418:BH418" ca="1" si="1331">BD415+BD392+BD381</f>
        <v>0</v>
      </c>
      <c r="BE418" s="80">
        <f t="shared" ca="1" si="1331"/>
        <v>4.5474735088646412E-13</v>
      </c>
      <c r="BF418" s="80">
        <f t="shared" ca="1" si="1331"/>
        <v>0</v>
      </c>
      <c r="BG418" s="80">
        <f t="shared" ca="1" si="1331"/>
        <v>0</v>
      </c>
      <c r="BH418" s="79">
        <f t="shared" ca="1" si="1331"/>
        <v>0</v>
      </c>
      <c r="BI418" s="79">
        <f t="shared" ca="1" si="1330"/>
        <v>0</v>
      </c>
      <c r="BJ418" s="79">
        <f t="shared" ca="1" si="1330"/>
        <v>0</v>
      </c>
      <c r="BK418" s="79">
        <f t="shared" ca="1" si="1330"/>
        <v>0</v>
      </c>
      <c r="BL418" s="79">
        <f t="shared" ca="1" si="1330"/>
        <v>0</v>
      </c>
    </row>
    <row r="419" spans="3:64" s="38" customFormat="1" ht="12.75" customHeight="1">
      <c r="C419" s="38" t="s">
        <v>29</v>
      </c>
      <c r="E419" s="50">
        <f t="shared" ref="E419:Q419" si="1332">E417+E418</f>
        <v>1504</v>
      </c>
      <c r="F419" s="50">
        <f t="shared" si="1332"/>
        <v>1504</v>
      </c>
      <c r="G419" s="50">
        <f t="shared" si="1332"/>
        <v>1504</v>
      </c>
      <c r="H419" s="50">
        <f t="shared" si="1332"/>
        <v>1504</v>
      </c>
      <c r="I419" s="50">
        <f t="shared" si="1332"/>
        <v>1504</v>
      </c>
      <c r="J419" s="50">
        <f t="shared" si="1332"/>
        <v>1504</v>
      </c>
      <c r="K419" s="50">
        <f t="shared" si="1332"/>
        <v>1504</v>
      </c>
      <c r="L419" s="50">
        <f t="shared" si="1332"/>
        <v>1504</v>
      </c>
      <c r="M419" s="50">
        <f t="shared" si="1332"/>
        <v>1504</v>
      </c>
      <c r="N419" s="50">
        <f t="shared" si="1332"/>
        <v>1504</v>
      </c>
      <c r="O419" s="50">
        <f t="shared" si="1332"/>
        <v>1504</v>
      </c>
      <c r="P419" s="50">
        <f t="shared" si="1332"/>
        <v>1504</v>
      </c>
      <c r="Q419" s="50">
        <f t="shared" si="1332"/>
        <v>1504</v>
      </c>
      <c r="R419" s="50">
        <f t="shared" ref="R419:X419" si="1333">R417+R418</f>
        <v>1504</v>
      </c>
      <c r="S419" s="50">
        <f t="shared" si="1333"/>
        <v>1410</v>
      </c>
      <c r="T419" s="50">
        <f t="shared" si="1333"/>
        <v>1359</v>
      </c>
      <c r="U419" s="55">
        <f t="shared" si="1333"/>
        <v>1409</v>
      </c>
      <c r="V419" s="55">
        <f t="shared" si="1333"/>
        <v>2311</v>
      </c>
      <c r="W419" s="55">
        <f t="shared" si="1333"/>
        <v>1882</v>
      </c>
      <c r="X419" s="55">
        <f t="shared" si="1333"/>
        <v>1578</v>
      </c>
      <c r="Y419" s="50">
        <f t="shared" ref="Y419:BL419" si="1334">Y417+Y418</f>
        <v>1577</v>
      </c>
      <c r="Z419" s="55">
        <f t="shared" si="1334"/>
        <v>2369</v>
      </c>
      <c r="AA419" s="55">
        <f t="shared" si="1334"/>
        <v>2695</v>
      </c>
      <c r="AB419" s="55">
        <f t="shared" si="1334"/>
        <v>3466</v>
      </c>
      <c r="AC419" s="55">
        <f t="shared" si="1334"/>
        <v>2651</v>
      </c>
      <c r="AD419" s="50">
        <f t="shared" si="1334"/>
        <v>2580</v>
      </c>
      <c r="AE419" s="55">
        <f t="shared" si="1334"/>
        <v>2119</v>
      </c>
      <c r="AF419" s="55">
        <f t="shared" si="1334"/>
        <v>1566</v>
      </c>
      <c r="AG419" s="55">
        <f t="shared" si="1334"/>
        <v>1508</v>
      </c>
      <c r="AH419" s="55">
        <f t="shared" si="1334"/>
        <v>1418</v>
      </c>
      <c r="AI419" s="50">
        <f t="shared" si="1334"/>
        <v>1418</v>
      </c>
      <c r="AJ419" s="55">
        <f t="shared" si="1334"/>
        <v>1242</v>
      </c>
      <c r="AK419" s="55">
        <f t="shared" si="1334"/>
        <v>1166</v>
      </c>
      <c r="AL419" s="55">
        <f>AL417+AL418</f>
        <v>1056</v>
      </c>
      <c r="AM419" s="55">
        <f t="shared" si="1334"/>
        <v>1206</v>
      </c>
      <c r="AN419" s="50">
        <f t="shared" si="1334"/>
        <v>1206</v>
      </c>
      <c r="AO419" s="55">
        <f t="shared" si="1334"/>
        <v>945</v>
      </c>
      <c r="AP419" s="55">
        <f t="shared" si="1334"/>
        <v>994</v>
      </c>
      <c r="AQ419" s="55">
        <f t="shared" si="1334"/>
        <v>905</v>
      </c>
      <c r="AR419" s="55">
        <f t="shared" si="1334"/>
        <v>1133</v>
      </c>
      <c r="AS419" s="50">
        <f t="shared" si="1334"/>
        <v>1133</v>
      </c>
      <c r="AT419" s="38">
        <f t="shared" si="1334"/>
        <v>1021</v>
      </c>
      <c r="AU419" s="38">
        <f t="shared" si="1334"/>
        <v>1129</v>
      </c>
      <c r="AV419" s="38">
        <f t="shared" si="1334"/>
        <v>1549</v>
      </c>
      <c r="AW419" s="38">
        <f t="shared" si="1334"/>
        <v>1167</v>
      </c>
      <c r="AX419" s="50">
        <f t="shared" si="1334"/>
        <v>1167</v>
      </c>
      <c r="AY419" s="55">
        <f t="shared" ca="1" si="1334"/>
        <v>902</v>
      </c>
      <c r="AZ419" s="38">
        <f t="shared" ca="1" si="1334"/>
        <v>902</v>
      </c>
      <c r="BA419" s="38">
        <f t="shared" ca="1" si="1334"/>
        <v>902</v>
      </c>
      <c r="BB419" s="38">
        <f t="shared" ca="1" si="1334"/>
        <v>902</v>
      </c>
      <c r="BC419" s="50">
        <f t="shared" ca="1" si="1334"/>
        <v>901.99999999999955</v>
      </c>
      <c r="BD419" s="55">
        <f t="shared" ref="BD419:BH419" ca="1" si="1335">BD417+BD418</f>
        <v>901.99999999999955</v>
      </c>
      <c r="BE419" s="38">
        <f t="shared" ca="1" si="1335"/>
        <v>902</v>
      </c>
      <c r="BF419" s="38">
        <f t="shared" ca="1" si="1335"/>
        <v>902</v>
      </c>
      <c r="BG419" s="38">
        <f t="shared" ca="1" si="1335"/>
        <v>902</v>
      </c>
      <c r="BH419" s="50">
        <f t="shared" ca="1" si="1335"/>
        <v>901.99999999999955</v>
      </c>
      <c r="BI419" s="50">
        <f t="shared" ca="1" si="1334"/>
        <v>901.99999999999955</v>
      </c>
      <c r="BJ419" s="50">
        <f t="shared" ca="1" si="1334"/>
        <v>901.99999999999955</v>
      </c>
      <c r="BK419" s="50">
        <f t="shared" ca="1" si="1334"/>
        <v>901.99999999999955</v>
      </c>
      <c r="BL419" s="50">
        <f t="shared" ca="1" si="1334"/>
        <v>901.99999999999955</v>
      </c>
    </row>
    <row r="420" spans="3:64" s="38" customFormat="1" ht="12.75" customHeight="1"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5"/>
      <c r="V420" s="55"/>
      <c r="W420" s="55"/>
      <c r="X420" s="55"/>
      <c r="Y420" s="50"/>
      <c r="Z420" s="55"/>
      <c r="AA420" s="55"/>
      <c r="AB420" s="55"/>
      <c r="AC420" s="55"/>
      <c r="AD420" s="50"/>
      <c r="AE420" s="55"/>
      <c r="AF420" s="55"/>
      <c r="AG420" s="55"/>
      <c r="AH420" s="55"/>
      <c r="AI420" s="50"/>
      <c r="AJ420" s="55"/>
      <c r="AK420" s="55"/>
      <c r="AL420" s="55"/>
      <c r="AM420" s="55"/>
      <c r="AN420" s="50"/>
      <c r="AO420" s="55"/>
      <c r="AP420" s="55"/>
      <c r="AQ420" s="55"/>
      <c r="AR420" s="55"/>
      <c r="AS420" s="50"/>
      <c r="AX420" s="50"/>
      <c r="AY420" s="55"/>
      <c r="BC420" s="50"/>
      <c r="BD420" s="55"/>
      <c r="BH420" s="50"/>
      <c r="BI420" s="50"/>
      <c r="BJ420" s="50"/>
      <c r="BK420" s="50"/>
      <c r="BL420" s="50"/>
    </row>
    <row r="421" spans="3:64" s="41" customFormat="1" ht="12.75" customHeight="1">
      <c r="C421" s="41" t="s">
        <v>306</v>
      </c>
      <c r="E421" s="49">
        <f t="shared" ref="E421:AJ421" si="1336">E381+SUM(E383:E386)+E395+E396</f>
        <v>-189</v>
      </c>
      <c r="F421" s="49">
        <f t="shared" si="1336"/>
        <v>-189</v>
      </c>
      <c r="G421" s="49">
        <f t="shared" si="1336"/>
        <v>-189</v>
      </c>
      <c r="H421" s="49">
        <f t="shared" si="1336"/>
        <v>-189</v>
      </c>
      <c r="I421" s="49">
        <f t="shared" si="1336"/>
        <v>-189</v>
      </c>
      <c r="J421" s="49">
        <f t="shared" si="1336"/>
        <v>-189</v>
      </c>
      <c r="K421" s="49">
        <f t="shared" si="1336"/>
        <v>-189</v>
      </c>
      <c r="L421" s="49">
        <f t="shared" si="1336"/>
        <v>-189</v>
      </c>
      <c r="M421" s="49">
        <f t="shared" si="1336"/>
        <v>-189</v>
      </c>
      <c r="N421" s="49">
        <f t="shared" si="1336"/>
        <v>-189</v>
      </c>
      <c r="O421" s="49">
        <f t="shared" si="1336"/>
        <v>-189</v>
      </c>
      <c r="P421" s="49">
        <f t="shared" si="1336"/>
        <v>-189</v>
      </c>
      <c r="Q421" s="49">
        <f t="shared" si="1336"/>
        <v>-189</v>
      </c>
      <c r="R421" s="49">
        <f t="shared" si="1336"/>
        <v>-189</v>
      </c>
      <c r="S421" s="49">
        <f t="shared" si="1336"/>
        <v>-28</v>
      </c>
      <c r="T421" s="49">
        <f t="shared" si="1336"/>
        <v>-42</v>
      </c>
      <c r="U421" s="60">
        <f t="shared" si="1336"/>
        <v>-598</v>
      </c>
      <c r="V421" s="60">
        <f t="shared" si="1336"/>
        <v>812</v>
      </c>
      <c r="W421" s="60">
        <f t="shared" si="1336"/>
        <v>-442</v>
      </c>
      <c r="X421" s="60">
        <f t="shared" si="1336"/>
        <v>-506</v>
      </c>
      <c r="Y421" s="49">
        <f t="shared" si="1336"/>
        <v>-734</v>
      </c>
      <c r="Z421" s="41">
        <f t="shared" si="1336"/>
        <v>-486</v>
      </c>
      <c r="AA421" s="41">
        <f t="shared" si="1336"/>
        <v>-1174</v>
      </c>
      <c r="AB421" s="41">
        <f t="shared" si="1336"/>
        <v>592</v>
      </c>
      <c r="AC421" s="41">
        <f t="shared" si="1336"/>
        <v>199</v>
      </c>
      <c r="AD421" s="49">
        <f t="shared" si="1336"/>
        <v>-869</v>
      </c>
      <c r="AE421" s="41">
        <f t="shared" si="1336"/>
        <v>266</v>
      </c>
      <c r="AF421" s="41">
        <f t="shared" si="1336"/>
        <v>363</v>
      </c>
      <c r="AG421" s="41">
        <f t="shared" si="1336"/>
        <v>483</v>
      </c>
      <c r="AH421" s="41">
        <f t="shared" si="1336"/>
        <v>223</v>
      </c>
      <c r="AI421" s="49">
        <f t="shared" si="1336"/>
        <v>1335</v>
      </c>
      <c r="AJ421" s="41">
        <f t="shared" si="1336"/>
        <v>-55</v>
      </c>
      <c r="AK421" s="41">
        <f t="shared" ref="AK421:BL421" si="1337">AK381+SUM(AK383:AK386)+AK395+AK396</f>
        <v>-461</v>
      </c>
      <c r="AL421" s="41">
        <f t="shared" si="1337"/>
        <v>321</v>
      </c>
      <c r="AM421" s="41">
        <f t="shared" si="1337"/>
        <v>-148</v>
      </c>
      <c r="AN421" s="49">
        <f t="shared" si="1337"/>
        <v>-343</v>
      </c>
      <c r="AO421" s="41">
        <f t="shared" si="1337"/>
        <v>-689</v>
      </c>
      <c r="AP421" s="41">
        <f t="shared" si="1337"/>
        <v>-610</v>
      </c>
      <c r="AQ421" s="41">
        <f t="shared" si="1337"/>
        <v>-176</v>
      </c>
      <c r="AR421" s="41">
        <f t="shared" si="1337"/>
        <v>-183</v>
      </c>
      <c r="AS421" s="49">
        <f t="shared" si="1337"/>
        <v>-1658</v>
      </c>
      <c r="AT421" s="41">
        <f t="shared" si="1337"/>
        <v>-725</v>
      </c>
      <c r="AU421" s="41">
        <f t="shared" si="1337"/>
        <v>542</v>
      </c>
      <c r="AV421" s="41">
        <f t="shared" si="1337"/>
        <v>232</v>
      </c>
      <c r="AW421" s="41">
        <f t="shared" si="1337"/>
        <v>-248</v>
      </c>
      <c r="AX421" s="49">
        <f t="shared" si="1337"/>
        <v>-199</v>
      </c>
      <c r="AY421" s="41">
        <f t="shared" ca="1" si="1337"/>
        <v>199.1762260363877</v>
      </c>
      <c r="AZ421" s="41">
        <f t="shared" ca="1" si="1337"/>
        <v>410.93306943214509</v>
      </c>
      <c r="BA421" s="41">
        <f t="shared" ca="1" si="1337"/>
        <v>650.49921204796146</v>
      </c>
      <c r="BB421" s="41">
        <f t="shared" ca="1" si="1337"/>
        <v>301.79377153977379</v>
      </c>
      <c r="BC421" s="49">
        <f t="shared" ca="1" si="1337"/>
        <v>1562.4022790562676</v>
      </c>
      <c r="BD421" s="41">
        <f t="shared" ca="1" si="1337"/>
        <v>259.36835542699896</v>
      </c>
      <c r="BE421" s="41">
        <f t="shared" ca="1" si="1337"/>
        <v>475.99239910861644</v>
      </c>
      <c r="BF421" s="41">
        <f t="shared" ca="1" si="1337"/>
        <v>722.19948018023763</v>
      </c>
      <c r="BG421" s="41">
        <f t="shared" ca="1" si="1337"/>
        <v>367.31390563980602</v>
      </c>
      <c r="BH421" s="49">
        <f t="shared" ca="1" si="1337"/>
        <v>1824.8741403556589</v>
      </c>
      <c r="BI421" s="49">
        <f t="shared" ca="1" si="1337"/>
        <v>2177.974491651662</v>
      </c>
      <c r="BJ421" s="49">
        <f t="shared" ca="1" si="1337"/>
        <v>2544.3935697888537</v>
      </c>
      <c r="BK421" s="49">
        <f t="shared" ca="1" si="1337"/>
        <v>2953.6466682499922</v>
      </c>
      <c r="BL421" s="49">
        <f t="shared" ca="1" si="1337"/>
        <v>3400.0150472372416</v>
      </c>
    </row>
    <row r="422" spans="3:64" ht="12.75" customHeight="1">
      <c r="BK422" s="54"/>
      <c r="BL422" s="54"/>
    </row>
    <row r="423" spans="3:64" ht="12.75" customHeight="1">
      <c r="BK423" s="54"/>
      <c r="BL423" s="54"/>
    </row>
    <row r="424" spans="3:64" ht="12.75" customHeight="1">
      <c r="BK424" s="54"/>
      <c r="BL424" s="54"/>
    </row>
    <row r="425" spans="3:64" ht="12.75" customHeight="1">
      <c r="BK425" s="54"/>
      <c r="BL425" s="54"/>
    </row>
    <row r="426" spans="3:64" ht="12.75" customHeight="1">
      <c r="BK426" s="54"/>
      <c r="BL426" s="54"/>
    </row>
    <row r="427" spans="3:64" ht="12.75" customHeight="1">
      <c r="BK427" s="54"/>
      <c r="BL427" s="54"/>
    </row>
    <row r="428" spans="3:64" ht="12.75" customHeight="1">
      <c r="BK428" s="54"/>
      <c r="BL428" s="54"/>
    </row>
    <row r="429" spans="3:64" ht="12.75" customHeight="1">
      <c r="BK429" s="54"/>
      <c r="BL429" s="54"/>
    </row>
    <row r="430" spans="3:64" ht="12.75" customHeight="1">
      <c r="BK430" s="54"/>
      <c r="BL430" s="54"/>
    </row>
    <row r="431" spans="3:64" ht="12.75" customHeight="1">
      <c r="BK431" s="54"/>
      <c r="BL431" s="54"/>
    </row>
    <row r="432" spans="3:64" ht="12.75" customHeight="1">
      <c r="BK432" s="54"/>
      <c r="BL432" s="54"/>
    </row>
    <row r="433" spans="63:64" ht="12.75" customHeight="1">
      <c r="BK433" s="54"/>
      <c r="BL433" s="54"/>
    </row>
    <row r="434" spans="63:64" ht="12.75" customHeight="1">
      <c r="BK434" s="54"/>
      <c r="BL434" s="54"/>
    </row>
    <row r="435" spans="63:64" ht="12.75" customHeight="1">
      <c r="BK435" s="54"/>
      <c r="BL435" s="54"/>
    </row>
    <row r="436" spans="63:64" ht="12.75" customHeight="1">
      <c r="BK436" s="54"/>
      <c r="BL436" s="54"/>
    </row>
    <row r="437" spans="63:64" ht="12.75" customHeight="1">
      <c r="BK437" s="54"/>
      <c r="BL437" s="54"/>
    </row>
    <row r="438" spans="63:64" ht="12.75" customHeight="1">
      <c r="BK438" s="54"/>
      <c r="BL438" s="54"/>
    </row>
    <row r="439" spans="63:64" ht="12.75" customHeight="1">
      <c r="BK439" s="54"/>
      <c r="BL439" s="54"/>
    </row>
    <row r="440" spans="63:64" ht="12.75" customHeight="1">
      <c r="BK440" s="54"/>
      <c r="BL440" s="54"/>
    </row>
    <row r="441" spans="63:64" ht="12.75" customHeight="1">
      <c r="BK441" s="54"/>
      <c r="BL441" s="54"/>
    </row>
    <row r="442" spans="63:64" ht="12.75" customHeight="1">
      <c r="BK442" s="54"/>
      <c r="BL442" s="54"/>
    </row>
    <row r="443" spans="63:64" ht="12.75" customHeight="1">
      <c r="BK443" s="54"/>
      <c r="BL443" s="54"/>
    </row>
    <row r="444" spans="63:64" ht="12.75" customHeight="1">
      <c r="BK444" s="54"/>
      <c r="BL444" s="54"/>
    </row>
    <row r="445" spans="63:64" ht="12.75" customHeight="1">
      <c r="BK445" s="54"/>
      <c r="BL445" s="54"/>
    </row>
    <row r="446" spans="63:64" ht="12.75" customHeight="1">
      <c r="BK446" s="54"/>
      <c r="BL446" s="54"/>
    </row>
    <row r="447" spans="63:64" ht="12.75" customHeight="1">
      <c r="BK447" s="54"/>
      <c r="BL447" s="54"/>
    </row>
    <row r="448" spans="63:64" ht="12.75" customHeight="1">
      <c r="BK448" s="54"/>
      <c r="BL448" s="54"/>
    </row>
    <row r="449" spans="63:64" ht="12.75" customHeight="1">
      <c r="BK449" s="54"/>
      <c r="BL449" s="54"/>
    </row>
    <row r="450" spans="63:64" ht="12.75" customHeight="1">
      <c r="BK450" s="54"/>
      <c r="BL450" s="54"/>
    </row>
    <row r="451" spans="63:64" ht="12.75" customHeight="1">
      <c r="BK451" s="54"/>
      <c r="BL451" s="54"/>
    </row>
    <row r="452" spans="63:64" ht="12.75" customHeight="1">
      <c r="BK452" s="54"/>
      <c r="BL452" s="54"/>
    </row>
    <row r="453" spans="63:64" ht="12.75" customHeight="1">
      <c r="BK453" s="54"/>
      <c r="BL453" s="54"/>
    </row>
    <row r="454" spans="63:64" ht="12.75" customHeight="1">
      <c r="BK454" s="54"/>
      <c r="BL454" s="54"/>
    </row>
    <row r="455" spans="63:64" ht="12.75" customHeight="1">
      <c r="BK455" s="54"/>
      <c r="BL455" s="54"/>
    </row>
    <row r="456" spans="63:64" ht="12.75" customHeight="1">
      <c r="BK456" s="54"/>
      <c r="BL456" s="54"/>
    </row>
    <row r="457" spans="63:64" ht="12.75" customHeight="1">
      <c r="BK457" s="54"/>
      <c r="BL457" s="54"/>
    </row>
    <row r="458" spans="63:64" ht="12.75" customHeight="1">
      <c r="BK458" s="54"/>
      <c r="BL458" s="54"/>
    </row>
    <row r="459" spans="63:64" ht="12.75" customHeight="1">
      <c r="BK459" s="54"/>
      <c r="BL459" s="54"/>
    </row>
    <row r="460" spans="63:64" ht="12.75" customHeight="1">
      <c r="BK460" s="54"/>
      <c r="BL460" s="54"/>
    </row>
    <row r="461" spans="63:64" ht="12.75" customHeight="1">
      <c r="BK461" s="54"/>
      <c r="BL461" s="54"/>
    </row>
    <row r="462" spans="63:64" ht="12.75" customHeight="1">
      <c r="BK462" s="54"/>
      <c r="BL462" s="54"/>
    </row>
    <row r="463" spans="63:64" ht="12.75" customHeight="1">
      <c r="BK463" s="54"/>
      <c r="BL463" s="54"/>
    </row>
    <row r="464" spans="63:64" ht="12.75" customHeight="1">
      <c r="BK464" s="54"/>
      <c r="BL464" s="54"/>
    </row>
    <row r="465" spans="63:64" ht="12.75" customHeight="1">
      <c r="BK465" s="54"/>
      <c r="BL465" s="54"/>
    </row>
    <row r="466" spans="63:64" ht="12.75" customHeight="1">
      <c r="BK466" s="54"/>
      <c r="BL466" s="54"/>
    </row>
    <row r="467" spans="63:64" ht="12.75" customHeight="1">
      <c r="BK467" s="54"/>
      <c r="BL467" s="54"/>
    </row>
    <row r="468" spans="63:64" ht="12.75" customHeight="1">
      <c r="BK468" s="54"/>
      <c r="BL468" s="54"/>
    </row>
    <row r="469" spans="63:64" ht="12.75" customHeight="1">
      <c r="BK469" s="54"/>
      <c r="BL469" s="54"/>
    </row>
    <row r="470" spans="63:64" ht="12.75" customHeight="1">
      <c r="BK470" s="54"/>
      <c r="BL470" s="54"/>
    </row>
    <row r="471" spans="63:64" ht="12.75" customHeight="1">
      <c r="BK471" s="54"/>
      <c r="BL471" s="54"/>
    </row>
    <row r="472" spans="63:64" ht="12.75" customHeight="1">
      <c r="BK472" s="54"/>
      <c r="BL472" s="54"/>
    </row>
    <row r="473" spans="63:64" ht="12.75" customHeight="1">
      <c r="BK473" s="54"/>
      <c r="BL473" s="54"/>
    </row>
    <row r="474" spans="63:64" ht="12.75" customHeight="1">
      <c r="BK474" s="54"/>
      <c r="BL474" s="54"/>
    </row>
    <row r="475" spans="63:64" ht="12.75" customHeight="1">
      <c r="BK475" s="54"/>
      <c r="BL475" s="54"/>
    </row>
    <row r="476" spans="63:64" ht="12.75" customHeight="1">
      <c r="BK476" s="54"/>
      <c r="BL476" s="54"/>
    </row>
    <row r="477" spans="63:64" ht="12.75" customHeight="1">
      <c r="BK477" s="54"/>
      <c r="BL477" s="54"/>
    </row>
    <row r="478" spans="63:64" ht="12.75" customHeight="1">
      <c r="BK478" s="54"/>
      <c r="BL478" s="54"/>
    </row>
    <row r="479" spans="63:64" ht="12.75" customHeight="1">
      <c r="BK479" s="54"/>
      <c r="BL479" s="54"/>
    </row>
    <row r="480" spans="63:64" ht="12.75" customHeight="1">
      <c r="BK480" s="54"/>
      <c r="BL480" s="54"/>
    </row>
    <row r="481" spans="63:64" ht="12.75" customHeight="1">
      <c r="BK481" s="54"/>
      <c r="BL481" s="54"/>
    </row>
    <row r="482" spans="63:64" ht="12.75" customHeight="1">
      <c r="BK482" s="54"/>
      <c r="BL482" s="54"/>
    </row>
    <row r="483" spans="63:64" ht="12.75" customHeight="1">
      <c r="BK483" s="54"/>
      <c r="BL483" s="54"/>
    </row>
    <row r="484" spans="63:64" ht="12.75" customHeight="1">
      <c r="BK484" s="54"/>
      <c r="BL484" s="54"/>
    </row>
    <row r="485" spans="63:64" ht="12.75" customHeight="1">
      <c r="BK485" s="54"/>
      <c r="BL485" s="54"/>
    </row>
    <row r="486" spans="63:64" ht="12.75" customHeight="1">
      <c r="BK486" s="54"/>
      <c r="BL486" s="54"/>
    </row>
    <row r="487" spans="63:64" ht="12.75" customHeight="1">
      <c r="BK487" s="54"/>
      <c r="BL487" s="54"/>
    </row>
    <row r="488" spans="63:64" ht="12.75" customHeight="1">
      <c r="BK488" s="54"/>
      <c r="BL488" s="54"/>
    </row>
    <row r="489" spans="63:64" ht="12.75" customHeight="1">
      <c r="BK489" s="54"/>
      <c r="BL489" s="54"/>
    </row>
    <row r="490" spans="63:64" ht="12.75" customHeight="1">
      <c r="BK490" s="54"/>
      <c r="BL490" s="54"/>
    </row>
    <row r="491" spans="63:64" ht="12.75" customHeight="1">
      <c r="BK491" s="54"/>
      <c r="BL491" s="54"/>
    </row>
    <row r="492" spans="63:64" ht="12.75" customHeight="1">
      <c r="BK492" s="54"/>
      <c r="BL492" s="54"/>
    </row>
    <row r="493" spans="63:64" ht="12.75" customHeight="1">
      <c r="BK493" s="54"/>
      <c r="BL493" s="54"/>
    </row>
    <row r="494" spans="63:64" ht="12.75" customHeight="1">
      <c r="BK494" s="54"/>
      <c r="BL494" s="54"/>
    </row>
    <row r="495" spans="63:64" ht="12.75" customHeight="1">
      <c r="BK495" s="54"/>
      <c r="BL495" s="54"/>
    </row>
    <row r="496" spans="63:64" ht="12.75" customHeight="1">
      <c r="BK496" s="54"/>
      <c r="BL496" s="54"/>
    </row>
    <row r="497" spans="63:64" ht="12.75" customHeight="1">
      <c r="BK497" s="54"/>
      <c r="BL497" s="54"/>
    </row>
    <row r="498" spans="63:64" ht="12.75" customHeight="1">
      <c r="BK498" s="54"/>
      <c r="BL498" s="54"/>
    </row>
    <row r="499" spans="63:64" ht="12.75" customHeight="1">
      <c r="BK499" s="54"/>
      <c r="BL499" s="54"/>
    </row>
    <row r="500" spans="63:64" ht="12.75" customHeight="1">
      <c r="BK500" s="54"/>
      <c r="BL500" s="54"/>
    </row>
    <row r="501" spans="63:64" ht="12.75" customHeight="1">
      <c r="BK501" s="54"/>
      <c r="BL501" s="54"/>
    </row>
    <row r="502" spans="63:64" ht="12.75" customHeight="1">
      <c r="BK502" s="54"/>
      <c r="BL502" s="54"/>
    </row>
    <row r="503" spans="63:64" ht="12.75" customHeight="1">
      <c r="BK503" s="54"/>
      <c r="BL503" s="54"/>
    </row>
    <row r="504" spans="63:64" ht="12.75" customHeight="1">
      <c r="BK504" s="54"/>
      <c r="BL504" s="54"/>
    </row>
    <row r="505" spans="63:64" ht="12.75" customHeight="1">
      <c r="BK505" s="54"/>
      <c r="BL505" s="54"/>
    </row>
    <row r="506" spans="63:64" ht="12.75" customHeight="1">
      <c r="BK506" s="54"/>
      <c r="BL506" s="54"/>
    </row>
    <row r="507" spans="63:64" ht="12.75" customHeight="1">
      <c r="BK507" s="54"/>
      <c r="BL507" s="54"/>
    </row>
    <row r="508" spans="63:64" ht="12.75" customHeight="1">
      <c r="BK508" s="54"/>
      <c r="BL508" s="54"/>
    </row>
    <row r="509" spans="63:64" ht="12.75" customHeight="1">
      <c r="BK509" s="54"/>
      <c r="BL509" s="54"/>
    </row>
    <row r="510" spans="63:64" ht="12.75" customHeight="1">
      <c r="BK510" s="54"/>
      <c r="BL510" s="54"/>
    </row>
    <row r="511" spans="63:64" ht="12.75" customHeight="1">
      <c r="BK511" s="54"/>
      <c r="BL511" s="54"/>
    </row>
    <row r="512" spans="63:64" ht="12.75" customHeight="1">
      <c r="BK512" s="54"/>
      <c r="BL512" s="54"/>
    </row>
    <row r="513" spans="63:64" ht="12.75" customHeight="1">
      <c r="BK513" s="54"/>
      <c r="BL513" s="54"/>
    </row>
    <row r="514" spans="63:64" ht="12.75" customHeight="1">
      <c r="BK514" s="54"/>
      <c r="BL514" s="54"/>
    </row>
    <row r="515" spans="63:64" ht="12.75" customHeight="1">
      <c r="BK515" s="54"/>
      <c r="BL515" s="54"/>
    </row>
    <row r="516" spans="63:64" ht="12.75" customHeight="1">
      <c r="BK516" s="54"/>
      <c r="BL516" s="54"/>
    </row>
    <row r="517" spans="63:64" ht="12.75" customHeight="1">
      <c r="BK517" s="54"/>
      <c r="BL517" s="54"/>
    </row>
    <row r="518" spans="63:64" ht="12.75" customHeight="1">
      <c r="BK518" s="54"/>
      <c r="BL518" s="54"/>
    </row>
    <row r="519" spans="63:64" ht="12.75" customHeight="1">
      <c r="BK519" s="54"/>
      <c r="BL519" s="54"/>
    </row>
    <row r="520" spans="63:64" ht="12.75" customHeight="1">
      <c r="BK520" s="54"/>
      <c r="BL520" s="54"/>
    </row>
    <row r="521" spans="63:64" ht="12.75" customHeight="1">
      <c r="BK521" s="54"/>
      <c r="BL521" s="54"/>
    </row>
    <row r="522" spans="63:64" ht="12.75" customHeight="1">
      <c r="BK522" s="54"/>
      <c r="BL522" s="54"/>
    </row>
    <row r="523" spans="63:64" ht="12.75" customHeight="1">
      <c r="BK523" s="54"/>
      <c r="BL523" s="54"/>
    </row>
    <row r="524" spans="63:64" ht="12.75" customHeight="1">
      <c r="BK524" s="54"/>
      <c r="BL524" s="54"/>
    </row>
    <row r="525" spans="63:64" ht="12.75" customHeight="1">
      <c r="BK525" s="54"/>
      <c r="BL525" s="54"/>
    </row>
    <row r="526" spans="63:64" ht="12.75" customHeight="1">
      <c r="BK526" s="54"/>
      <c r="BL526" s="54"/>
    </row>
    <row r="527" spans="63:64" ht="12.75" customHeight="1">
      <c r="BK527" s="54"/>
      <c r="BL527" s="54"/>
    </row>
    <row r="528" spans="63:64" ht="12.75" customHeight="1">
      <c r="BK528" s="54"/>
      <c r="BL528" s="54"/>
    </row>
    <row r="529" spans="63:64" ht="12.75" customHeight="1">
      <c r="BK529" s="54"/>
      <c r="BL529" s="54"/>
    </row>
    <row r="530" spans="63:64" ht="12.75" customHeight="1">
      <c r="BK530" s="54"/>
      <c r="BL530" s="54"/>
    </row>
    <row r="531" spans="63:64" ht="12.75" customHeight="1">
      <c r="BK531" s="54"/>
      <c r="BL531" s="54"/>
    </row>
    <row r="532" spans="63:64" ht="12.75" customHeight="1">
      <c r="BK532" s="54"/>
      <c r="BL532" s="54"/>
    </row>
    <row r="533" spans="63:64" ht="12.75" customHeight="1">
      <c r="BK533" s="54"/>
      <c r="BL533" s="54"/>
    </row>
    <row r="534" spans="63:64" ht="12.75" customHeight="1">
      <c r="BK534" s="54"/>
      <c r="BL534" s="54"/>
    </row>
    <row r="535" spans="63:64" ht="12.75" customHeight="1">
      <c r="BK535" s="54"/>
      <c r="BL535" s="54"/>
    </row>
    <row r="536" spans="63:64" ht="12.75" customHeight="1">
      <c r="BK536" s="54"/>
      <c r="BL536" s="54"/>
    </row>
    <row r="537" spans="63:64" ht="12.75" customHeight="1">
      <c r="BK537" s="54"/>
      <c r="BL537" s="54"/>
    </row>
    <row r="538" spans="63:64" ht="12.75" customHeight="1">
      <c r="BK538" s="54"/>
      <c r="BL538" s="54"/>
    </row>
    <row r="539" spans="63:64" ht="12.75" customHeight="1">
      <c r="BK539" s="54"/>
      <c r="BL539" s="54"/>
    </row>
    <row r="540" spans="63:64" ht="12.75" customHeight="1">
      <c r="BK540" s="54"/>
      <c r="BL540" s="54"/>
    </row>
    <row r="541" spans="63:64" ht="12.75" customHeight="1">
      <c r="BK541" s="54"/>
      <c r="BL541" s="54"/>
    </row>
    <row r="542" spans="63:64" ht="12.75" customHeight="1">
      <c r="BK542" s="54"/>
      <c r="BL542" s="54"/>
    </row>
    <row r="543" spans="63:64" ht="12.75" customHeight="1">
      <c r="BK543" s="54"/>
      <c r="BL543" s="54"/>
    </row>
    <row r="544" spans="63:64" ht="12.75" customHeight="1">
      <c r="BK544" s="54"/>
      <c r="BL544" s="54"/>
    </row>
    <row r="545" spans="63:64" ht="12.75" customHeight="1">
      <c r="BK545" s="54"/>
      <c r="BL545" s="54"/>
    </row>
    <row r="546" spans="63:64" ht="12.75" customHeight="1">
      <c r="BK546" s="54"/>
      <c r="BL546" s="54"/>
    </row>
    <row r="547" spans="63:64" ht="12.75" customHeight="1">
      <c r="BK547" s="54"/>
      <c r="BL547" s="54"/>
    </row>
    <row r="548" spans="63:64" ht="12.75" customHeight="1">
      <c r="BK548" s="54"/>
      <c r="BL548" s="54"/>
    </row>
    <row r="549" spans="63:64" ht="12.75" customHeight="1">
      <c r="BK549" s="54"/>
      <c r="BL549" s="54"/>
    </row>
    <row r="550" spans="63:64" ht="12.75" customHeight="1">
      <c r="BK550" s="54"/>
      <c r="BL550" s="54"/>
    </row>
    <row r="551" spans="63:64" ht="12.75" customHeight="1">
      <c r="BK551" s="54"/>
      <c r="BL551" s="54"/>
    </row>
    <row r="552" spans="63:64" ht="12.75" customHeight="1">
      <c r="BK552" s="54"/>
      <c r="BL552" s="54"/>
    </row>
    <row r="553" spans="63:64" ht="12.75" customHeight="1">
      <c r="BK553" s="54"/>
      <c r="BL553" s="54"/>
    </row>
    <row r="554" spans="63:64" ht="12.75" customHeight="1">
      <c r="BK554" s="54"/>
      <c r="BL554" s="54"/>
    </row>
    <row r="555" spans="63:64" ht="12.75" customHeight="1">
      <c r="BK555" s="54"/>
      <c r="BL555" s="54"/>
    </row>
    <row r="556" spans="63:64" ht="12.75" customHeight="1">
      <c r="BK556" s="54"/>
      <c r="BL556" s="54"/>
    </row>
    <row r="557" spans="63:64" ht="12.75" customHeight="1">
      <c r="BK557" s="54"/>
      <c r="BL557" s="54"/>
    </row>
    <row r="558" spans="63:64" ht="12.75" customHeight="1">
      <c r="BK558" s="54"/>
      <c r="BL558" s="54"/>
    </row>
    <row r="559" spans="63:64" ht="12.75" customHeight="1">
      <c r="BK559" s="54"/>
      <c r="BL559" s="54"/>
    </row>
    <row r="560" spans="63:64" ht="12.75" customHeight="1">
      <c r="BK560" s="54"/>
      <c r="BL560" s="54"/>
    </row>
    <row r="561" spans="63:64" ht="12.75" customHeight="1">
      <c r="BK561" s="54"/>
      <c r="BL561" s="54"/>
    </row>
    <row r="562" spans="63:64" ht="12.75" customHeight="1">
      <c r="BK562" s="54"/>
      <c r="BL562" s="54"/>
    </row>
    <row r="563" spans="63:64" ht="12.75" customHeight="1">
      <c r="BK563" s="54"/>
      <c r="BL563" s="54"/>
    </row>
    <row r="564" spans="63:64" ht="12.75" customHeight="1">
      <c r="BK564" s="54"/>
      <c r="BL564" s="54"/>
    </row>
    <row r="565" spans="63:64" ht="12.75" customHeight="1">
      <c r="BK565" s="54"/>
      <c r="BL565" s="54"/>
    </row>
    <row r="566" spans="63:64" ht="12.75" customHeight="1">
      <c r="BK566" s="54"/>
      <c r="BL566" s="54"/>
    </row>
    <row r="567" spans="63:64" ht="12.75" customHeight="1">
      <c r="BK567" s="54"/>
      <c r="BL567" s="54"/>
    </row>
    <row r="568" spans="63:64" ht="12.75" customHeight="1">
      <c r="BK568" s="54"/>
      <c r="BL568" s="54"/>
    </row>
    <row r="569" spans="63:64" ht="12.75" customHeight="1">
      <c r="BK569" s="54"/>
      <c r="BL569" s="54"/>
    </row>
    <row r="570" spans="63:64" ht="12.75" customHeight="1">
      <c r="BK570" s="54"/>
      <c r="BL570" s="54"/>
    </row>
    <row r="571" spans="63:64" ht="12.75" customHeight="1">
      <c r="BK571" s="54"/>
      <c r="BL571" s="54"/>
    </row>
    <row r="572" spans="63:64" ht="12.75" customHeight="1">
      <c r="BK572" s="54"/>
      <c r="BL572" s="54"/>
    </row>
    <row r="573" spans="63:64" ht="12.75" customHeight="1">
      <c r="BK573" s="54"/>
      <c r="BL573" s="54"/>
    </row>
    <row r="574" spans="63:64" ht="12.75" customHeight="1">
      <c r="BK574" s="54"/>
      <c r="BL574" s="54"/>
    </row>
    <row r="575" spans="63:64" ht="12.75" customHeight="1">
      <c r="BK575" s="54"/>
      <c r="BL575" s="54"/>
    </row>
    <row r="576" spans="63:64" ht="12.75" customHeight="1">
      <c r="BK576" s="54"/>
      <c r="BL576" s="54"/>
    </row>
    <row r="577" spans="63:64" ht="12.75" customHeight="1">
      <c r="BK577" s="54"/>
      <c r="BL577" s="54"/>
    </row>
    <row r="578" spans="63:64" ht="12.75" customHeight="1">
      <c r="BK578" s="54"/>
      <c r="BL578" s="54"/>
    </row>
    <row r="579" spans="63:64" ht="12.75" customHeight="1">
      <c r="BK579" s="54"/>
      <c r="BL579" s="54"/>
    </row>
    <row r="580" spans="63:64" ht="12.75" customHeight="1">
      <c r="BK580" s="54"/>
      <c r="BL580" s="54"/>
    </row>
    <row r="581" spans="63:64" ht="12.75" customHeight="1">
      <c r="BK581" s="54"/>
      <c r="BL581" s="54"/>
    </row>
    <row r="582" spans="63:64" ht="12.75" customHeight="1">
      <c r="BK582" s="54"/>
      <c r="BL582" s="54"/>
    </row>
    <row r="583" spans="63:64" ht="12.75" customHeight="1">
      <c r="BK583" s="54"/>
      <c r="BL583" s="54"/>
    </row>
    <row r="584" spans="63:64" ht="12.75" customHeight="1">
      <c r="BK584" s="54"/>
      <c r="BL584" s="54"/>
    </row>
    <row r="585" spans="63:64" ht="12.75" customHeight="1">
      <c r="BK585" s="54"/>
      <c r="BL585" s="54"/>
    </row>
    <row r="586" spans="63:64" ht="12.75" customHeight="1">
      <c r="BK586" s="54"/>
      <c r="BL586" s="54"/>
    </row>
    <row r="587" spans="63:64" ht="12.75" customHeight="1">
      <c r="BK587" s="54"/>
      <c r="BL587" s="54"/>
    </row>
    <row r="588" spans="63:64" ht="12.75" customHeight="1">
      <c r="BK588" s="54"/>
      <c r="BL588" s="54"/>
    </row>
    <row r="589" spans="63:64" ht="12.75" customHeight="1">
      <c r="BK589" s="54"/>
      <c r="BL589" s="54"/>
    </row>
    <row r="590" spans="63:64" ht="12.75" customHeight="1">
      <c r="BK590" s="54"/>
      <c r="BL590" s="54"/>
    </row>
    <row r="591" spans="63:64" ht="12.75" customHeight="1">
      <c r="BK591" s="54"/>
      <c r="BL591" s="54"/>
    </row>
    <row r="592" spans="63:64" ht="12.75" customHeight="1">
      <c r="BK592" s="54"/>
      <c r="BL592" s="54"/>
    </row>
    <row r="593" spans="63:64" ht="12.75" customHeight="1">
      <c r="BK593" s="54"/>
      <c r="BL593" s="54"/>
    </row>
    <row r="594" spans="63:64" ht="12.75" customHeight="1">
      <c r="BK594" s="54"/>
      <c r="BL594" s="54"/>
    </row>
    <row r="595" spans="63:64" ht="12.75" customHeight="1">
      <c r="BK595" s="54"/>
      <c r="BL595" s="54"/>
    </row>
    <row r="596" spans="63:64" ht="12.75" customHeight="1">
      <c r="BK596" s="54"/>
      <c r="BL596" s="54"/>
    </row>
    <row r="597" spans="63:64" ht="12.75" customHeight="1">
      <c r="BK597" s="54"/>
      <c r="BL597" s="54"/>
    </row>
    <row r="598" spans="63:64" ht="12.75" customHeight="1">
      <c r="BK598" s="54"/>
      <c r="BL598" s="54"/>
    </row>
    <row r="599" spans="63:64" ht="12.75" customHeight="1">
      <c r="BK599" s="54"/>
      <c r="BL599" s="54"/>
    </row>
    <row r="600" spans="63:64" ht="12.75" customHeight="1">
      <c r="BK600" s="54"/>
      <c r="BL600" s="54"/>
    </row>
    <row r="601" spans="63:64" ht="12.75" customHeight="1">
      <c r="BK601" s="54"/>
      <c r="BL601" s="54"/>
    </row>
    <row r="602" spans="63:64" ht="12.75" customHeight="1">
      <c r="BK602" s="54"/>
      <c r="BL602" s="54"/>
    </row>
    <row r="603" spans="63:64" ht="12.75" customHeight="1">
      <c r="BK603" s="54"/>
      <c r="BL603" s="54"/>
    </row>
    <row r="604" spans="63:64" ht="12.75" customHeight="1">
      <c r="BK604" s="54"/>
      <c r="BL604" s="54"/>
    </row>
    <row r="605" spans="63:64" ht="12.75" customHeight="1">
      <c r="BK605" s="54"/>
      <c r="BL605" s="54"/>
    </row>
    <row r="606" spans="63:64" ht="12.75" customHeight="1">
      <c r="BK606" s="54"/>
      <c r="BL606" s="54"/>
    </row>
    <row r="607" spans="63:64" ht="12.75" customHeight="1">
      <c r="BK607" s="54"/>
      <c r="BL607" s="54"/>
    </row>
    <row r="608" spans="63:64" ht="12.75" customHeight="1">
      <c r="BK608" s="54"/>
      <c r="BL608" s="54"/>
    </row>
    <row r="609" spans="63:64" ht="12.75" customHeight="1">
      <c r="BK609" s="54"/>
      <c r="BL609" s="54"/>
    </row>
    <row r="610" spans="63:64" ht="12.75" customHeight="1">
      <c r="BK610" s="54"/>
      <c r="BL610" s="54"/>
    </row>
    <row r="611" spans="63:64" ht="12.75" customHeight="1">
      <c r="BK611" s="54"/>
      <c r="BL611" s="54"/>
    </row>
    <row r="612" spans="63:64" ht="12.75" customHeight="1">
      <c r="BK612" s="54"/>
      <c r="BL612" s="54"/>
    </row>
    <row r="613" spans="63:64" ht="12.75" customHeight="1">
      <c r="BK613" s="54"/>
      <c r="BL613" s="54"/>
    </row>
    <row r="614" spans="63:64" ht="12.75" customHeight="1">
      <c r="BK614" s="54"/>
      <c r="BL614" s="54"/>
    </row>
    <row r="615" spans="63:64" ht="12.75" customHeight="1">
      <c r="BK615" s="54"/>
      <c r="BL615" s="54"/>
    </row>
    <row r="616" spans="63:64" ht="12.75" customHeight="1">
      <c r="BK616" s="54"/>
      <c r="BL616" s="54"/>
    </row>
    <row r="617" spans="63:64" ht="12.75" customHeight="1">
      <c r="BK617" s="54"/>
      <c r="BL617" s="54"/>
    </row>
    <row r="618" spans="63:64" ht="12.75" customHeight="1">
      <c r="BK618" s="54"/>
      <c r="BL618" s="54"/>
    </row>
    <row r="619" spans="63:64" ht="12.75" customHeight="1">
      <c r="BK619" s="54"/>
      <c r="BL619" s="54"/>
    </row>
    <row r="620" spans="63:64" ht="12.75" customHeight="1">
      <c r="BK620" s="54"/>
      <c r="BL620" s="54"/>
    </row>
    <row r="621" spans="63:64" ht="12.75" customHeight="1">
      <c r="BK621" s="54"/>
      <c r="BL621" s="54"/>
    </row>
    <row r="622" spans="63:64" ht="12.75" customHeight="1">
      <c r="BK622" s="54"/>
      <c r="BL622" s="54"/>
    </row>
    <row r="623" spans="63:64" ht="12.75" customHeight="1">
      <c r="BK623" s="54"/>
      <c r="BL623" s="54"/>
    </row>
    <row r="624" spans="63:64" ht="12.75" customHeight="1">
      <c r="BK624" s="54"/>
      <c r="BL624" s="54"/>
    </row>
    <row r="625" spans="63:64" ht="12.75" customHeight="1">
      <c r="BK625" s="54"/>
      <c r="BL625" s="54"/>
    </row>
    <row r="626" spans="63:64" ht="12.75" customHeight="1">
      <c r="BK626" s="54"/>
      <c r="BL626" s="54"/>
    </row>
    <row r="627" spans="63:64" ht="12.75" customHeight="1">
      <c r="BK627" s="54"/>
      <c r="BL627" s="54"/>
    </row>
    <row r="628" spans="63:64" ht="12.75" customHeight="1">
      <c r="BK628" s="54"/>
      <c r="BL628" s="54"/>
    </row>
    <row r="629" spans="63:64" ht="12.75" customHeight="1">
      <c r="BK629" s="54"/>
      <c r="BL629" s="54"/>
    </row>
    <row r="630" spans="63:64" ht="12.75" customHeight="1">
      <c r="BK630" s="54"/>
      <c r="BL630" s="54"/>
    </row>
    <row r="631" spans="63:64" ht="12.75" customHeight="1">
      <c r="BK631" s="54"/>
      <c r="BL631" s="54"/>
    </row>
    <row r="632" spans="63:64" ht="12.75" customHeight="1">
      <c r="BK632" s="54"/>
      <c r="BL632" s="54"/>
    </row>
    <row r="633" spans="63:64" ht="12.75" customHeight="1">
      <c r="BK633" s="54"/>
      <c r="BL633" s="54"/>
    </row>
    <row r="634" spans="63:64" ht="12.75" customHeight="1">
      <c r="BK634" s="54"/>
      <c r="BL634" s="54"/>
    </row>
    <row r="635" spans="63:64" ht="12.75" customHeight="1">
      <c r="BK635" s="54"/>
      <c r="BL635" s="54"/>
    </row>
    <row r="636" spans="63:64" ht="12.75" customHeight="1">
      <c r="BK636" s="54"/>
      <c r="BL636" s="54"/>
    </row>
    <row r="637" spans="63:64" ht="12.75" customHeight="1">
      <c r="BK637" s="54"/>
      <c r="BL637" s="54"/>
    </row>
    <row r="638" spans="63:64" ht="12.75" customHeight="1">
      <c r="BK638" s="54"/>
      <c r="BL638" s="54"/>
    </row>
    <row r="639" spans="63:64" ht="12.75" customHeight="1">
      <c r="BK639" s="54"/>
      <c r="BL639" s="54"/>
    </row>
    <row r="640" spans="63:64" ht="12.75" customHeight="1">
      <c r="BK640" s="54"/>
      <c r="BL640" s="54"/>
    </row>
    <row r="641" spans="63:64" ht="12.75" customHeight="1">
      <c r="BK641" s="54"/>
      <c r="BL641" s="54"/>
    </row>
    <row r="642" spans="63:64" ht="12.75" customHeight="1">
      <c r="BK642" s="54"/>
      <c r="BL642" s="54"/>
    </row>
    <row r="643" spans="63:64" ht="12.75" customHeight="1">
      <c r="BK643" s="54"/>
      <c r="BL643" s="54"/>
    </row>
    <row r="644" spans="63:64" ht="12.75" customHeight="1">
      <c r="BK644" s="54"/>
      <c r="BL644" s="54"/>
    </row>
    <row r="645" spans="63:64" ht="12.75" customHeight="1">
      <c r="BK645" s="54"/>
      <c r="BL645" s="54"/>
    </row>
    <row r="646" spans="63:64" ht="12.75" customHeight="1">
      <c r="BK646" s="54"/>
      <c r="BL646" s="54"/>
    </row>
    <row r="647" spans="63:64" ht="12.75" customHeight="1">
      <c r="BK647" s="54"/>
      <c r="BL647" s="54"/>
    </row>
    <row r="648" spans="63:64" ht="12.75" customHeight="1">
      <c r="BK648" s="54"/>
      <c r="BL648" s="54"/>
    </row>
    <row r="649" spans="63:64" ht="12.75" customHeight="1">
      <c r="BK649" s="54"/>
      <c r="BL649" s="54"/>
    </row>
    <row r="650" spans="63:64" ht="12.75" customHeight="1">
      <c r="BK650" s="54"/>
      <c r="BL650" s="54"/>
    </row>
    <row r="651" spans="63:64" ht="12.75" customHeight="1">
      <c r="BK651" s="54"/>
      <c r="BL651" s="54"/>
    </row>
    <row r="652" spans="63:64" ht="12.75" customHeight="1">
      <c r="BK652" s="54"/>
      <c r="BL652" s="54"/>
    </row>
    <row r="653" spans="63:64" ht="12.75" customHeight="1">
      <c r="BK653" s="54"/>
      <c r="BL653" s="54"/>
    </row>
    <row r="654" spans="63:64" ht="12.75" customHeight="1">
      <c r="BK654" s="54"/>
      <c r="BL654" s="54"/>
    </row>
    <row r="655" spans="63:64" ht="12.75" customHeight="1">
      <c r="BK655" s="54"/>
      <c r="BL655" s="54"/>
    </row>
    <row r="656" spans="63:64" ht="12.75" customHeight="1">
      <c r="BK656" s="54"/>
      <c r="BL656" s="54"/>
    </row>
    <row r="657" spans="63:64" ht="12.75" customHeight="1">
      <c r="BK657" s="54"/>
      <c r="BL657" s="54"/>
    </row>
    <row r="658" spans="63:64" ht="12.75" customHeight="1">
      <c r="BK658" s="54"/>
      <c r="BL658" s="54"/>
    </row>
    <row r="659" spans="63:64" ht="12.75" customHeight="1">
      <c r="BK659" s="54"/>
      <c r="BL659" s="54"/>
    </row>
    <row r="660" spans="63:64" ht="12.75" customHeight="1">
      <c r="BK660" s="54"/>
      <c r="BL660" s="54"/>
    </row>
    <row r="661" spans="63:64" ht="12.75" customHeight="1">
      <c r="BK661" s="54"/>
      <c r="BL661" s="54"/>
    </row>
    <row r="662" spans="63:64" ht="12.75" customHeight="1">
      <c r="BK662" s="54"/>
      <c r="BL662" s="54"/>
    </row>
    <row r="663" spans="63:64" ht="12.75" customHeight="1">
      <c r="BK663" s="54"/>
      <c r="BL663" s="54"/>
    </row>
    <row r="664" spans="63:64" ht="12.75" customHeight="1">
      <c r="BK664" s="54"/>
      <c r="BL664" s="54"/>
    </row>
    <row r="665" spans="63:64" ht="12.75" customHeight="1">
      <c r="BK665" s="54"/>
      <c r="BL665" s="54"/>
    </row>
    <row r="666" spans="63:64" ht="12.75" customHeight="1">
      <c r="BK666" s="54"/>
      <c r="BL666" s="54"/>
    </row>
    <row r="667" spans="63:64" ht="12.75" customHeight="1">
      <c r="BK667" s="54"/>
      <c r="BL667" s="54"/>
    </row>
    <row r="668" spans="63:64" ht="12.75" customHeight="1">
      <c r="BK668" s="54"/>
      <c r="BL668" s="54"/>
    </row>
    <row r="669" spans="63:64" ht="12.75" customHeight="1">
      <c r="BK669" s="54"/>
      <c r="BL669" s="54"/>
    </row>
    <row r="670" spans="63:64" ht="12.75" customHeight="1">
      <c r="BK670" s="54"/>
      <c r="BL670" s="54"/>
    </row>
    <row r="671" spans="63:64" ht="12.75" customHeight="1">
      <c r="BK671" s="54"/>
      <c r="BL671" s="54"/>
    </row>
    <row r="672" spans="63:64" ht="12.75" customHeight="1">
      <c r="BK672" s="54"/>
      <c r="BL672" s="54"/>
    </row>
    <row r="673" spans="63:64" ht="12.75" customHeight="1">
      <c r="BK673" s="54"/>
      <c r="BL673" s="54"/>
    </row>
    <row r="674" spans="63:64" ht="12.75" customHeight="1">
      <c r="BK674" s="54"/>
      <c r="BL674" s="54"/>
    </row>
    <row r="675" spans="63:64" ht="12.75" customHeight="1">
      <c r="BK675" s="54"/>
      <c r="BL675" s="54"/>
    </row>
    <row r="676" spans="63:64" ht="12.75" customHeight="1">
      <c r="BK676" s="54"/>
      <c r="BL676" s="54"/>
    </row>
    <row r="677" spans="63:64" ht="12.75" customHeight="1">
      <c r="BK677" s="54"/>
      <c r="BL677" s="54"/>
    </row>
    <row r="678" spans="63:64" ht="12.75" customHeight="1">
      <c r="BK678" s="54"/>
      <c r="BL678" s="54"/>
    </row>
    <row r="679" spans="63:64" ht="12.75" customHeight="1">
      <c r="BK679" s="54"/>
      <c r="BL679" s="54"/>
    </row>
    <row r="680" spans="63:64" ht="12.75" customHeight="1">
      <c r="BK680" s="54"/>
      <c r="BL680" s="54"/>
    </row>
    <row r="681" spans="63:64" ht="12.75" customHeight="1">
      <c r="BK681" s="54"/>
      <c r="BL681" s="54"/>
    </row>
    <row r="682" spans="63:64" ht="12.75" customHeight="1">
      <c r="BK682" s="54"/>
      <c r="BL682" s="54"/>
    </row>
    <row r="683" spans="63:64" ht="12.75" customHeight="1">
      <c r="BK683" s="54"/>
      <c r="BL683" s="54"/>
    </row>
    <row r="684" spans="63:64" ht="12.75" customHeight="1">
      <c r="BK684" s="54"/>
      <c r="BL684" s="54"/>
    </row>
    <row r="685" spans="63:64" ht="12.75" customHeight="1">
      <c r="BK685" s="54"/>
      <c r="BL685" s="54"/>
    </row>
    <row r="686" spans="63:64" ht="12.75" customHeight="1">
      <c r="BK686" s="54"/>
      <c r="BL686" s="54"/>
    </row>
    <row r="687" spans="63:64" ht="12.75" customHeight="1">
      <c r="BK687" s="54"/>
      <c r="BL687" s="54"/>
    </row>
    <row r="688" spans="63:64" ht="12.75" customHeight="1">
      <c r="BK688" s="54"/>
      <c r="BL688" s="54"/>
    </row>
    <row r="689" spans="63:64" ht="12.75" customHeight="1">
      <c r="BK689" s="54"/>
      <c r="BL689" s="54"/>
    </row>
    <row r="690" spans="63:64" ht="12.75" customHeight="1">
      <c r="BK690" s="54"/>
      <c r="BL690" s="54"/>
    </row>
    <row r="691" spans="63:64" ht="12.75" customHeight="1">
      <c r="BK691" s="54"/>
      <c r="BL691" s="54"/>
    </row>
    <row r="692" spans="63:64" ht="12.75" customHeight="1">
      <c r="BK692" s="54"/>
      <c r="BL692" s="54"/>
    </row>
    <row r="693" spans="63:64" ht="12.75" customHeight="1">
      <c r="BK693" s="54"/>
      <c r="BL693" s="54"/>
    </row>
    <row r="694" spans="63:64" ht="12.75" customHeight="1">
      <c r="BK694" s="54"/>
      <c r="BL694" s="54"/>
    </row>
    <row r="695" spans="63:64" ht="12.75" customHeight="1">
      <c r="BK695" s="54"/>
      <c r="BL695" s="54"/>
    </row>
    <row r="696" spans="63:64" ht="12.75" customHeight="1">
      <c r="BK696" s="54"/>
      <c r="BL696" s="54"/>
    </row>
    <row r="697" spans="63:64" ht="12.75" customHeight="1">
      <c r="BK697" s="54"/>
      <c r="BL697" s="54"/>
    </row>
    <row r="698" spans="63:64" ht="12.75" customHeight="1">
      <c r="BK698" s="54"/>
      <c r="BL698" s="54"/>
    </row>
    <row r="699" spans="63:64" ht="12.75" customHeight="1">
      <c r="BK699" s="54"/>
      <c r="BL699" s="54"/>
    </row>
    <row r="700" spans="63:64" ht="12.75" customHeight="1">
      <c r="BK700" s="54"/>
      <c r="BL700" s="54"/>
    </row>
    <row r="701" spans="63:64" ht="12.75" customHeight="1">
      <c r="BK701" s="54"/>
      <c r="BL701" s="54"/>
    </row>
    <row r="702" spans="63:64" ht="12.75" customHeight="1">
      <c r="BK702" s="54"/>
      <c r="BL702" s="54"/>
    </row>
    <row r="703" spans="63:64" ht="12.75" customHeight="1">
      <c r="BK703" s="54"/>
      <c r="BL703" s="54"/>
    </row>
    <row r="704" spans="63:64" ht="12.75" customHeight="1">
      <c r="BK704" s="54"/>
      <c r="BL704" s="54"/>
    </row>
    <row r="705" spans="63:64" ht="12.75" customHeight="1">
      <c r="BK705" s="54"/>
      <c r="BL705" s="54"/>
    </row>
    <row r="706" spans="63:64" ht="12.75" customHeight="1">
      <c r="BK706" s="54"/>
      <c r="BL706" s="54"/>
    </row>
    <row r="707" spans="63:64" ht="12.75" customHeight="1">
      <c r="BK707" s="54"/>
      <c r="BL707" s="54"/>
    </row>
    <row r="708" spans="63:64" ht="12.75" customHeight="1">
      <c r="BK708" s="54"/>
      <c r="BL708" s="54"/>
    </row>
    <row r="709" spans="63:64" ht="12.75" customHeight="1">
      <c r="BK709" s="54"/>
      <c r="BL709" s="54"/>
    </row>
    <row r="710" spans="63:64" ht="12.75" customHeight="1">
      <c r="BK710" s="54"/>
      <c r="BL710" s="54"/>
    </row>
    <row r="711" spans="63:64" ht="12.75" customHeight="1">
      <c r="BK711" s="54"/>
      <c r="BL711" s="54"/>
    </row>
    <row r="712" spans="63:64" ht="12.75" customHeight="1">
      <c r="BK712" s="54"/>
      <c r="BL712" s="54"/>
    </row>
    <row r="713" spans="63:64" ht="12.75" customHeight="1">
      <c r="BK713" s="54"/>
      <c r="BL713" s="54"/>
    </row>
    <row r="714" spans="63:64" ht="12.75" customHeight="1">
      <c r="BK714" s="54"/>
      <c r="BL714" s="54"/>
    </row>
    <row r="715" spans="63:64" ht="12.75" customHeight="1">
      <c r="BK715" s="54"/>
      <c r="BL715" s="54"/>
    </row>
    <row r="716" spans="63:64" ht="12.75" customHeight="1">
      <c r="BK716" s="54"/>
      <c r="BL716" s="54"/>
    </row>
    <row r="717" spans="63:64" ht="12.75" customHeight="1">
      <c r="BK717" s="54"/>
      <c r="BL717" s="54"/>
    </row>
    <row r="718" spans="63:64" ht="12.75" customHeight="1">
      <c r="BK718" s="54"/>
      <c r="BL718" s="54"/>
    </row>
    <row r="719" spans="63:64" ht="12.75" customHeight="1">
      <c r="BK719" s="54"/>
      <c r="BL719" s="54"/>
    </row>
    <row r="720" spans="63:64" ht="12.75" customHeight="1">
      <c r="BK720" s="54"/>
      <c r="BL720" s="54"/>
    </row>
    <row r="721" spans="63:64" ht="12.75" customHeight="1">
      <c r="BK721" s="54"/>
      <c r="BL721" s="54"/>
    </row>
    <row r="722" spans="63:64" ht="12.75" customHeight="1">
      <c r="BK722" s="54"/>
      <c r="BL722" s="54"/>
    </row>
    <row r="723" spans="63:64" ht="12.75" customHeight="1">
      <c r="BK723" s="54"/>
      <c r="BL723" s="54"/>
    </row>
    <row r="724" spans="63:64" ht="12.75" customHeight="1">
      <c r="BK724" s="54"/>
      <c r="BL724" s="54"/>
    </row>
    <row r="725" spans="63:64" ht="12.75" customHeight="1">
      <c r="BK725" s="54"/>
      <c r="BL725" s="54"/>
    </row>
    <row r="726" spans="63:64" ht="12.75" customHeight="1">
      <c r="BK726" s="54"/>
      <c r="BL726" s="54"/>
    </row>
    <row r="727" spans="63:64" ht="12.75" customHeight="1">
      <c r="BK727" s="54"/>
      <c r="BL727" s="54"/>
    </row>
    <row r="728" spans="63:64" ht="12.75" customHeight="1">
      <c r="BK728" s="54"/>
      <c r="BL728" s="54"/>
    </row>
    <row r="729" spans="63:64" ht="12.75" customHeight="1">
      <c r="BK729" s="54"/>
      <c r="BL729" s="54"/>
    </row>
    <row r="730" spans="63:64" ht="12.75" customHeight="1">
      <c r="BK730" s="54"/>
      <c r="BL730" s="54"/>
    </row>
    <row r="731" spans="63:64" ht="12.75" customHeight="1">
      <c r="BK731" s="54"/>
      <c r="BL731" s="54"/>
    </row>
    <row r="732" spans="63:64" ht="12.75" customHeight="1">
      <c r="BK732" s="54"/>
      <c r="BL732" s="54"/>
    </row>
    <row r="733" spans="63:64" ht="12.75" customHeight="1">
      <c r="BK733" s="54"/>
      <c r="BL733" s="54"/>
    </row>
    <row r="734" spans="63:64" ht="12.75" customHeight="1">
      <c r="BK734" s="54"/>
      <c r="BL734" s="54"/>
    </row>
    <row r="735" spans="63:64" ht="12.75" customHeight="1">
      <c r="BK735" s="54"/>
      <c r="BL735" s="54"/>
    </row>
    <row r="736" spans="63:64" ht="12.75" customHeight="1">
      <c r="BK736" s="54"/>
      <c r="BL736" s="54"/>
    </row>
    <row r="737" spans="63:64" ht="12.75" customHeight="1">
      <c r="BK737" s="54"/>
      <c r="BL737" s="54"/>
    </row>
    <row r="738" spans="63:64" ht="12.75" customHeight="1">
      <c r="BK738" s="54"/>
      <c r="BL738" s="54"/>
    </row>
    <row r="739" spans="63:64" ht="12.75" customHeight="1">
      <c r="BK739" s="54"/>
      <c r="BL739" s="54"/>
    </row>
    <row r="740" spans="63:64" ht="12.75" customHeight="1">
      <c r="BK740" s="54"/>
      <c r="BL740" s="54"/>
    </row>
    <row r="741" spans="63:64" ht="12.75" customHeight="1">
      <c r="BK741" s="54"/>
      <c r="BL741" s="54"/>
    </row>
    <row r="742" spans="63:64" ht="12.75" customHeight="1">
      <c r="BK742" s="54"/>
      <c r="BL742" s="54"/>
    </row>
    <row r="743" spans="63:64" ht="12.75" customHeight="1">
      <c r="BK743" s="54"/>
      <c r="BL743" s="54"/>
    </row>
    <row r="744" spans="63:64" ht="12.75" customHeight="1">
      <c r="BK744" s="54"/>
      <c r="BL744" s="54"/>
    </row>
    <row r="745" spans="63:64" ht="12.75" customHeight="1">
      <c r="BK745" s="54"/>
      <c r="BL745" s="54"/>
    </row>
    <row r="746" spans="63:64" ht="12.75" customHeight="1">
      <c r="BK746" s="54"/>
      <c r="BL746" s="54"/>
    </row>
    <row r="747" spans="63:64" ht="12.75" customHeight="1">
      <c r="BK747" s="54"/>
      <c r="BL747" s="54"/>
    </row>
    <row r="748" spans="63:64" ht="12.75" customHeight="1">
      <c r="BK748" s="54"/>
      <c r="BL748" s="54"/>
    </row>
    <row r="749" spans="63:64" ht="12.75" customHeight="1">
      <c r="BK749" s="54"/>
      <c r="BL749" s="54"/>
    </row>
    <row r="750" spans="63:64" ht="12.75" customHeight="1">
      <c r="BK750" s="54"/>
      <c r="BL750" s="54"/>
    </row>
    <row r="751" spans="63:64" ht="12.75" customHeight="1">
      <c r="BK751" s="54"/>
      <c r="BL751" s="54"/>
    </row>
    <row r="752" spans="63:64" ht="12.75" customHeight="1">
      <c r="BK752" s="54"/>
      <c r="BL752" s="54"/>
    </row>
    <row r="753" spans="63:64" ht="12.75" customHeight="1">
      <c r="BK753" s="54"/>
      <c r="BL753" s="54"/>
    </row>
    <row r="754" spans="63:64" ht="12.75" customHeight="1">
      <c r="BK754" s="54"/>
      <c r="BL754" s="54"/>
    </row>
    <row r="755" spans="63:64" ht="12.75" customHeight="1">
      <c r="BK755" s="54"/>
      <c r="BL755" s="54"/>
    </row>
    <row r="756" spans="63:64" ht="12.75" customHeight="1">
      <c r="BK756" s="54"/>
      <c r="BL756" s="54"/>
    </row>
    <row r="757" spans="63:64" ht="12.75" customHeight="1">
      <c r="BK757" s="54"/>
      <c r="BL757" s="54"/>
    </row>
    <row r="758" spans="63:64" ht="12.75" customHeight="1">
      <c r="BK758" s="54"/>
      <c r="BL758" s="54"/>
    </row>
    <row r="759" spans="63:64" ht="12.75" customHeight="1">
      <c r="BK759" s="54"/>
      <c r="BL759" s="54"/>
    </row>
    <row r="760" spans="63:64" ht="12.75" customHeight="1">
      <c r="BK760" s="54"/>
      <c r="BL760" s="54"/>
    </row>
    <row r="761" spans="63:64" ht="12.75" customHeight="1">
      <c r="BK761" s="54"/>
      <c r="BL761" s="54"/>
    </row>
    <row r="762" spans="63:64" ht="12.75" customHeight="1">
      <c r="BK762" s="54"/>
      <c r="BL762" s="54"/>
    </row>
    <row r="763" spans="63:64" ht="12.75" customHeight="1">
      <c r="BK763" s="54"/>
      <c r="BL763" s="54"/>
    </row>
    <row r="764" spans="63:64" ht="12.75" customHeight="1">
      <c r="BK764" s="54"/>
      <c r="BL764" s="54"/>
    </row>
    <row r="765" spans="63:64" ht="12.75" customHeight="1">
      <c r="BK765" s="54"/>
      <c r="BL765" s="54"/>
    </row>
    <row r="766" spans="63:64" ht="12.75" customHeight="1">
      <c r="BK766" s="54"/>
      <c r="BL766" s="54"/>
    </row>
    <row r="767" spans="63:64" ht="12.75" customHeight="1">
      <c r="BK767" s="54"/>
      <c r="BL767" s="54"/>
    </row>
    <row r="768" spans="63:64" ht="12.75" customHeight="1">
      <c r="BK768" s="54"/>
      <c r="BL768" s="54"/>
    </row>
    <row r="769" spans="63:64" ht="12.75" customHeight="1">
      <c r="BK769" s="54"/>
      <c r="BL769" s="54"/>
    </row>
    <row r="770" spans="63:64" ht="12.75" customHeight="1">
      <c r="BK770" s="54"/>
      <c r="BL770" s="54"/>
    </row>
    <row r="771" spans="63:64" ht="12.75" customHeight="1">
      <c r="BK771" s="54"/>
      <c r="BL771" s="54"/>
    </row>
    <row r="772" spans="63:64" ht="12.75" customHeight="1">
      <c r="BK772" s="54"/>
      <c r="BL772" s="54"/>
    </row>
    <row r="773" spans="63:64" ht="12.75" customHeight="1">
      <c r="BK773" s="54"/>
      <c r="BL773" s="54"/>
    </row>
    <row r="774" spans="63:64" ht="12.75" customHeight="1">
      <c r="BK774" s="54"/>
      <c r="BL774" s="54"/>
    </row>
    <row r="775" spans="63:64" ht="12.75" customHeight="1">
      <c r="BK775" s="54"/>
      <c r="BL775" s="54"/>
    </row>
    <row r="776" spans="63:64" ht="12.75" customHeight="1">
      <c r="BK776" s="54"/>
      <c r="BL776" s="54"/>
    </row>
    <row r="777" spans="63:64" ht="12.75" customHeight="1">
      <c r="BK777" s="54"/>
      <c r="BL777" s="54"/>
    </row>
    <row r="778" spans="63:64" ht="12.75" customHeight="1">
      <c r="BK778" s="54"/>
      <c r="BL778" s="54"/>
    </row>
    <row r="779" spans="63:64" ht="12.75" customHeight="1">
      <c r="BK779" s="54"/>
      <c r="BL779" s="54"/>
    </row>
    <row r="780" spans="63:64" ht="12.75" customHeight="1">
      <c r="BK780" s="54"/>
      <c r="BL780" s="54"/>
    </row>
    <row r="781" spans="63:64" ht="12.75" customHeight="1">
      <c r="BK781" s="54"/>
      <c r="BL781" s="54"/>
    </row>
    <row r="782" spans="63:64" ht="12.75" customHeight="1">
      <c r="BK782" s="54"/>
      <c r="BL782" s="54"/>
    </row>
    <row r="783" spans="63:64" ht="12.75" customHeight="1">
      <c r="BK783" s="54"/>
      <c r="BL783" s="54"/>
    </row>
    <row r="784" spans="63:64" ht="12.75" customHeight="1">
      <c r="BK784" s="54"/>
      <c r="BL784" s="54"/>
    </row>
    <row r="785" spans="63:64" ht="12.75" customHeight="1">
      <c r="BK785" s="54"/>
      <c r="BL785" s="54"/>
    </row>
    <row r="786" spans="63:64" ht="12.75" customHeight="1">
      <c r="BK786" s="54"/>
      <c r="BL786" s="54"/>
    </row>
    <row r="787" spans="63:64" ht="12.75" customHeight="1">
      <c r="BK787" s="54"/>
      <c r="BL787" s="54"/>
    </row>
    <row r="788" spans="63:64" ht="12.75" customHeight="1">
      <c r="BK788" s="54"/>
      <c r="BL788" s="54"/>
    </row>
    <row r="789" spans="63:64" ht="12.75" customHeight="1">
      <c r="BK789" s="54"/>
      <c r="BL789" s="54"/>
    </row>
    <row r="790" spans="63:64" ht="12.75" customHeight="1">
      <c r="BK790" s="54"/>
      <c r="BL790" s="54"/>
    </row>
    <row r="791" spans="63:64" ht="12.75" customHeight="1">
      <c r="BK791" s="54"/>
      <c r="BL791" s="54"/>
    </row>
    <row r="792" spans="63:64" ht="12.75" customHeight="1">
      <c r="BK792" s="54"/>
      <c r="BL792" s="54"/>
    </row>
    <row r="793" spans="63:64" ht="12.75" customHeight="1">
      <c r="BK793" s="54"/>
      <c r="BL793" s="54"/>
    </row>
    <row r="794" spans="63:64" ht="12.75" customHeight="1">
      <c r="BK794" s="54"/>
      <c r="BL794" s="54"/>
    </row>
    <row r="795" spans="63:64" ht="12.75" customHeight="1">
      <c r="BK795" s="54"/>
      <c r="BL795" s="54"/>
    </row>
    <row r="796" spans="63:64" ht="12.75" customHeight="1">
      <c r="BK796" s="54"/>
      <c r="BL796" s="54"/>
    </row>
    <row r="797" spans="63:64" ht="12.75" customHeight="1">
      <c r="BK797" s="54"/>
      <c r="BL797" s="54"/>
    </row>
    <row r="798" spans="63:64" ht="12.75" customHeight="1">
      <c r="BK798" s="54"/>
      <c r="BL798" s="54"/>
    </row>
    <row r="799" spans="63:64" ht="12.75" customHeight="1">
      <c r="BK799" s="54"/>
      <c r="BL799" s="54"/>
    </row>
    <row r="800" spans="63:64" ht="12.75" customHeight="1">
      <c r="BK800" s="54"/>
      <c r="BL800" s="54"/>
    </row>
    <row r="801" spans="63:64" ht="12.75" customHeight="1">
      <c r="BK801" s="54"/>
      <c r="BL801" s="54"/>
    </row>
    <row r="802" spans="63:64" ht="12.75" customHeight="1">
      <c r="BK802" s="54"/>
      <c r="BL802" s="54"/>
    </row>
    <row r="803" spans="63:64" ht="12.75" customHeight="1">
      <c r="BK803" s="54"/>
      <c r="BL803" s="54"/>
    </row>
    <row r="804" spans="63:64" ht="12.75" customHeight="1">
      <c r="BK804" s="54"/>
      <c r="BL804" s="54"/>
    </row>
    <row r="805" spans="63:64" ht="12.75" customHeight="1">
      <c r="BK805" s="54"/>
      <c r="BL805" s="54"/>
    </row>
    <row r="806" spans="63:64" ht="12.75" customHeight="1">
      <c r="BK806" s="54"/>
      <c r="BL806" s="54"/>
    </row>
    <row r="807" spans="63:64" ht="12.75" customHeight="1">
      <c r="BK807" s="54"/>
      <c r="BL807" s="54"/>
    </row>
    <row r="808" spans="63:64" ht="12.75" customHeight="1">
      <c r="BK808" s="54"/>
      <c r="BL808" s="54"/>
    </row>
    <row r="809" spans="63:64" ht="12.75" customHeight="1">
      <c r="BK809" s="54"/>
      <c r="BL809" s="54"/>
    </row>
    <row r="810" spans="63:64" ht="12.75" customHeight="1">
      <c r="BK810" s="54"/>
      <c r="BL810" s="54"/>
    </row>
    <row r="811" spans="63:64" ht="12.75" customHeight="1">
      <c r="BK811" s="54"/>
      <c r="BL811" s="54"/>
    </row>
    <row r="812" spans="63:64" ht="12.75" customHeight="1">
      <c r="BK812" s="54"/>
      <c r="BL812" s="54"/>
    </row>
    <row r="813" spans="63:64" ht="12.75" customHeight="1">
      <c r="BK813" s="54"/>
      <c r="BL813" s="54"/>
    </row>
    <row r="814" spans="63:64" ht="12.75" customHeight="1">
      <c r="BK814" s="54"/>
      <c r="BL814" s="54"/>
    </row>
    <row r="815" spans="63:64" ht="12.75" customHeight="1">
      <c r="BK815" s="54"/>
      <c r="BL815" s="54"/>
    </row>
    <row r="816" spans="63:64" ht="12.75" customHeight="1">
      <c r="BK816" s="54"/>
      <c r="BL816" s="54"/>
    </row>
    <row r="817" spans="63:64" ht="12.75" customHeight="1">
      <c r="BK817" s="54"/>
      <c r="BL817" s="54"/>
    </row>
    <row r="818" spans="63:64" ht="12.75" customHeight="1">
      <c r="BK818" s="54"/>
      <c r="BL818" s="54"/>
    </row>
    <row r="819" spans="63:64" ht="12.75" customHeight="1">
      <c r="BK819" s="54"/>
      <c r="BL819" s="54"/>
    </row>
    <row r="820" spans="63:64" ht="12.75" customHeight="1">
      <c r="BK820" s="54"/>
      <c r="BL820" s="54"/>
    </row>
    <row r="821" spans="63:64" ht="12.75" customHeight="1">
      <c r="BK821" s="54"/>
      <c r="BL821" s="54"/>
    </row>
    <row r="822" spans="63:64" ht="12.75" customHeight="1">
      <c r="BK822" s="54"/>
      <c r="BL822" s="54"/>
    </row>
    <row r="823" spans="63:64" ht="12.75" customHeight="1">
      <c r="BK823" s="54"/>
      <c r="BL823" s="54"/>
    </row>
    <row r="824" spans="63:64" ht="12.75" customHeight="1">
      <c r="BK824" s="54"/>
      <c r="BL824" s="54"/>
    </row>
    <row r="825" spans="63:64" ht="12.75" customHeight="1">
      <c r="BK825" s="54"/>
      <c r="BL825" s="54"/>
    </row>
    <row r="826" spans="63:64" ht="12.75" customHeight="1">
      <c r="BK826" s="54"/>
      <c r="BL826" s="54"/>
    </row>
    <row r="827" spans="63:64" ht="12.75" customHeight="1">
      <c r="BK827" s="54"/>
      <c r="BL827" s="54"/>
    </row>
    <row r="828" spans="63:64" ht="12.75" customHeight="1">
      <c r="BK828" s="54"/>
      <c r="BL828" s="54"/>
    </row>
    <row r="829" spans="63:64" ht="12.75" customHeight="1">
      <c r="BK829" s="54"/>
      <c r="BL829" s="54"/>
    </row>
    <row r="830" spans="63:64" ht="12.75" customHeight="1">
      <c r="BK830" s="54"/>
      <c r="BL830" s="54"/>
    </row>
    <row r="831" spans="63:64" ht="12.75" customHeight="1">
      <c r="BK831" s="54"/>
      <c r="BL831" s="54"/>
    </row>
    <row r="832" spans="63:64" ht="12.75" customHeight="1">
      <c r="BK832" s="54"/>
      <c r="BL832" s="54"/>
    </row>
    <row r="833" spans="63:64" ht="12.75" customHeight="1">
      <c r="BK833" s="54"/>
      <c r="BL833" s="54"/>
    </row>
    <row r="834" spans="63:64" ht="12.75" customHeight="1">
      <c r="BK834" s="54"/>
      <c r="BL834" s="54"/>
    </row>
    <row r="835" spans="63:64" ht="12.75" customHeight="1">
      <c r="BK835" s="54"/>
      <c r="BL835" s="54"/>
    </row>
    <row r="836" spans="63:64" ht="12.75" customHeight="1">
      <c r="BK836" s="54"/>
      <c r="BL836" s="54"/>
    </row>
    <row r="837" spans="63:64" ht="12.75" customHeight="1">
      <c r="BK837" s="54"/>
      <c r="BL837" s="54"/>
    </row>
    <row r="838" spans="63:64" ht="12.75" customHeight="1">
      <c r="BK838" s="54"/>
      <c r="BL838" s="54"/>
    </row>
    <row r="839" spans="63:64" ht="12.75" customHeight="1">
      <c r="BK839" s="54"/>
      <c r="BL839" s="54"/>
    </row>
    <row r="840" spans="63:64" ht="12.75" customHeight="1">
      <c r="BK840" s="54"/>
      <c r="BL840" s="54"/>
    </row>
    <row r="841" spans="63:64" ht="12.75" customHeight="1">
      <c r="BK841" s="54"/>
      <c r="BL841" s="54"/>
    </row>
    <row r="842" spans="63:64" ht="12.75" customHeight="1">
      <c r="BK842" s="54"/>
      <c r="BL842" s="54"/>
    </row>
    <row r="843" spans="63:64" ht="12.75" customHeight="1">
      <c r="BK843" s="54"/>
      <c r="BL843" s="54"/>
    </row>
    <row r="844" spans="63:64" ht="12.75" customHeight="1">
      <c r="BK844" s="54"/>
      <c r="BL844" s="54"/>
    </row>
    <row r="845" spans="63:64" ht="12.75" customHeight="1">
      <c r="BK845" s="54"/>
      <c r="BL845" s="54"/>
    </row>
    <row r="846" spans="63:64" ht="12.75" customHeight="1">
      <c r="BK846" s="54"/>
      <c r="BL846" s="54"/>
    </row>
    <row r="847" spans="63:64" ht="12.75" customHeight="1">
      <c r="BK847" s="54"/>
      <c r="BL847" s="54"/>
    </row>
    <row r="848" spans="63:64" ht="12.75" customHeight="1">
      <c r="BK848" s="54"/>
      <c r="BL848" s="54"/>
    </row>
    <row r="849" spans="63:64" ht="12.75" customHeight="1">
      <c r="BK849" s="54"/>
      <c r="BL849" s="54"/>
    </row>
    <row r="850" spans="63:64" ht="12.75" customHeight="1">
      <c r="BK850" s="54"/>
      <c r="BL850" s="54"/>
    </row>
    <row r="851" spans="63:64" ht="12.75" customHeight="1">
      <c r="BK851" s="54"/>
      <c r="BL851" s="54"/>
    </row>
    <row r="852" spans="63:64" ht="12.75" customHeight="1">
      <c r="BK852" s="54"/>
      <c r="BL852" s="54"/>
    </row>
    <row r="853" spans="63:64" ht="12.75" customHeight="1">
      <c r="BK853" s="54"/>
      <c r="BL853" s="54"/>
    </row>
    <row r="854" spans="63:64" ht="12.75" customHeight="1">
      <c r="BK854" s="54"/>
      <c r="BL854" s="54"/>
    </row>
    <row r="855" spans="63:64" ht="12.75" customHeight="1">
      <c r="BK855" s="54"/>
      <c r="BL855" s="54"/>
    </row>
    <row r="856" spans="63:64" ht="12.75" customHeight="1">
      <c r="BK856" s="54"/>
      <c r="BL856" s="54"/>
    </row>
    <row r="857" spans="63:64" ht="12.75" customHeight="1">
      <c r="BK857" s="54"/>
      <c r="BL857" s="54"/>
    </row>
    <row r="858" spans="63:64" ht="12.75" customHeight="1">
      <c r="BK858" s="54"/>
      <c r="BL858" s="54"/>
    </row>
    <row r="859" spans="63:64" ht="12.75" customHeight="1">
      <c r="BK859" s="54"/>
      <c r="BL859" s="54"/>
    </row>
    <row r="860" spans="63:64" ht="12.75" customHeight="1">
      <c r="BK860" s="54"/>
      <c r="BL860" s="54"/>
    </row>
    <row r="861" spans="63:64" ht="12.75" customHeight="1">
      <c r="BK861" s="54"/>
      <c r="BL861" s="54"/>
    </row>
    <row r="862" spans="63:64" ht="12.75" customHeight="1">
      <c r="BK862" s="54"/>
      <c r="BL862" s="54"/>
    </row>
    <row r="863" spans="63:64" ht="12.75" customHeight="1">
      <c r="BK863" s="54"/>
      <c r="BL863" s="54"/>
    </row>
    <row r="864" spans="63:64" ht="12.75" customHeight="1">
      <c r="BK864" s="54"/>
      <c r="BL864" s="54"/>
    </row>
    <row r="865" spans="63:64" ht="12.75" customHeight="1">
      <c r="BK865" s="54"/>
      <c r="BL865" s="54"/>
    </row>
    <row r="866" spans="63:64" ht="12.75" customHeight="1">
      <c r="BK866" s="54"/>
      <c r="BL866" s="54"/>
    </row>
    <row r="867" spans="63:64" ht="12.75" customHeight="1">
      <c r="BK867" s="54"/>
      <c r="BL867" s="54"/>
    </row>
    <row r="868" spans="63:64" ht="12.75" customHeight="1">
      <c r="BK868" s="54"/>
      <c r="BL868" s="54"/>
    </row>
    <row r="869" spans="63:64" ht="12.75" customHeight="1">
      <c r="BK869" s="54"/>
      <c r="BL869" s="54"/>
    </row>
    <row r="870" spans="63:64" ht="12.75" customHeight="1">
      <c r="BK870" s="54"/>
      <c r="BL870" s="54"/>
    </row>
    <row r="871" spans="63:64" ht="12.75" customHeight="1">
      <c r="BK871" s="54"/>
      <c r="BL871" s="54"/>
    </row>
    <row r="872" spans="63:64" ht="12.75" customHeight="1">
      <c r="BK872" s="54"/>
      <c r="BL872" s="54"/>
    </row>
    <row r="873" spans="63:64" ht="12.75" customHeight="1">
      <c r="BK873" s="54"/>
      <c r="BL873" s="54"/>
    </row>
    <row r="874" spans="63:64" ht="12.75" customHeight="1">
      <c r="BK874" s="54"/>
      <c r="BL874" s="54"/>
    </row>
    <row r="875" spans="63:64" ht="12.75" customHeight="1">
      <c r="BK875" s="54"/>
      <c r="BL875" s="54"/>
    </row>
    <row r="876" spans="63:64" ht="12.75" customHeight="1">
      <c r="BK876" s="54"/>
      <c r="BL876" s="54"/>
    </row>
    <row r="877" spans="63:64" ht="12.75" customHeight="1">
      <c r="BK877" s="54"/>
      <c r="BL877" s="54"/>
    </row>
    <row r="878" spans="63:64" ht="12.75" customHeight="1">
      <c r="BK878" s="54"/>
      <c r="BL878" s="54"/>
    </row>
    <row r="879" spans="63:64" ht="12.75" customHeight="1">
      <c r="BK879" s="54"/>
      <c r="BL879" s="54"/>
    </row>
    <row r="880" spans="63:64" ht="12.75" customHeight="1">
      <c r="BK880" s="54"/>
      <c r="BL880" s="54"/>
    </row>
    <row r="881" spans="63:64" ht="12.75" customHeight="1">
      <c r="BK881" s="54"/>
      <c r="BL881" s="54"/>
    </row>
    <row r="882" spans="63:64" ht="12.75" customHeight="1">
      <c r="BK882" s="54"/>
      <c r="BL882" s="54"/>
    </row>
    <row r="883" spans="63:64" ht="12.75" customHeight="1">
      <c r="BK883" s="54"/>
      <c r="BL883" s="54"/>
    </row>
    <row r="884" spans="63:64" ht="12.75" customHeight="1">
      <c r="BK884" s="54"/>
      <c r="BL884" s="54"/>
    </row>
    <row r="885" spans="63:64" ht="12.75" customHeight="1">
      <c r="BK885" s="54"/>
      <c r="BL885" s="54"/>
    </row>
    <row r="886" spans="63:64" ht="12.75" customHeight="1">
      <c r="BK886" s="54"/>
      <c r="BL886" s="54"/>
    </row>
    <row r="887" spans="63:64" ht="12.75" customHeight="1">
      <c r="BK887" s="54"/>
      <c r="BL887" s="54"/>
    </row>
    <row r="888" spans="63:64" ht="12.75" customHeight="1">
      <c r="BK888" s="54"/>
      <c r="BL888" s="54"/>
    </row>
    <row r="889" spans="63:64" ht="12.75" customHeight="1">
      <c r="BK889" s="54"/>
      <c r="BL889" s="54"/>
    </row>
    <row r="890" spans="63:64" ht="12.75" customHeight="1">
      <c r="BK890" s="54"/>
      <c r="BL890" s="54"/>
    </row>
    <row r="891" spans="63:64" ht="12.75" customHeight="1">
      <c r="BK891" s="54"/>
      <c r="BL891" s="54"/>
    </row>
    <row r="892" spans="63:64" ht="12.75" customHeight="1">
      <c r="BK892" s="54"/>
      <c r="BL892" s="54"/>
    </row>
    <row r="893" spans="63:64" ht="12.75" customHeight="1">
      <c r="BK893" s="54"/>
      <c r="BL893" s="54"/>
    </row>
    <row r="894" spans="63:64" ht="12.75" customHeight="1">
      <c r="BK894" s="54"/>
      <c r="BL894" s="54"/>
    </row>
    <row r="895" spans="63:64" ht="12.75" customHeight="1">
      <c r="BK895" s="54"/>
      <c r="BL895" s="54"/>
    </row>
    <row r="896" spans="63:64" ht="12.75" customHeight="1">
      <c r="BK896" s="54"/>
      <c r="BL896" s="54"/>
    </row>
    <row r="897" spans="63:64" ht="12.75" customHeight="1">
      <c r="BK897" s="54"/>
      <c r="BL897" s="54"/>
    </row>
    <row r="898" spans="63:64" ht="12.75" customHeight="1">
      <c r="BK898" s="54"/>
      <c r="BL898" s="54"/>
    </row>
    <row r="899" spans="63:64" ht="12.75" customHeight="1">
      <c r="BK899" s="54"/>
      <c r="BL899" s="54"/>
    </row>
    <row r="900" spans="63:64" ht="12.75" customHeight="1">
      <c r="BK900" s="54"/>
      <c r="BL900" s="54"/>
    </row>
    <row r="901" spans="63:64" ht="12.75" customHeight="1">
      <c r="BK901" s="54"/>
      <c r="BL901" s="54"/>
    </row>
    <row r="902" spans="63:64" ht="12.75" customHeight="1">
      <c r="BK902" s="54"/>
      <c r="BL902" s="54"/>
    </row>
    <row r="903" spans="63:64" ht="12.75" customHeight="1">
      <c r="BK903" s="54"/>
      <c r="BL903" s="54"/>
    </row>
    <row r="904" spans="63:64" ht="12.75" customHeight="1">
      <c r="BK904" s="54"/>
      <c r="BL904" s="54"/>
    </row>
    <row r="905" spans="63:64" ht="12.75" customHeight="1">
      <c r="BK905" s="54"/>
      <c r="BL905" s="54"/>
    </row>
    <row r="906" spans="63:64" ht="12.75" customHeight="1">
      <c r="BK906" s="54"/>
      <c r="BL906" s="54"/>
    </row>
    <row r="907" spans="63:64" ht="12.75" customHeight="1">
      <c r="BK907" s="54"/>
      <c r="BL907" s="54"/>
    </row>
    <row r="908" spans="63:64" ht="12.75" customHeight="1">
      <c r="BK908" s="54"/>
      <c r="BL908" s="54"/>
    </row>
    <row r="909" spans="63:64" ht="12.75" customHeight="1">
      <c r="BK909" s="54"/>
      <c r="BL909" s="54"/>
    </row>
    <row r="910" spans="63:64" ht="12.75" customHeight="1">
      <c r="BK910" s="54"/>
      <c r="BL910" s="54"/>
    </row>
    <row r="911" spans="63:64" ht="12.75" customHeight="1">
      <c r="BK911" s="54"/>
      <c r="BL911" s="54"/>
    </row>
    <row r="912" spans="63:64" ht="12.75" customHeight="1">
      <c r="BK912" s="54"/>
      <c r="BL912" s="54"/>
    </row>
    <row r="913" spans="63:64" ht="12.75" customHeight="1">
      <c r="BK913" s="54"/>
      <c r="BL913" s="54"/>
    </row>
    <row r="914" spans="63:64" ht="12.75" customHeight="1">
      <c r="BK914" s="54"/>
      <c r="BL914" s="54"/>
    </row>
    <row r="915" spans="63:64" ht="12.75" customHeight="1">
      <c r="BK915" s="54"/>
      <c r="BL915" s="54"/>
    </row>
    <row r="916" spans="63:64" ht="12.75" customHeight="1">
      <c r="BK916" s="54"/>
      <c r="BL916" s="54"/>
    </row>
    <row r="917" spans="63:64" ht="12.75" customHeight="1">
      <c r="BK917" s="54"/>
      <c r="BL917" s="54"/>
    </row>
    <row r="918" spans="63:64" ht="12.75" customHeight="1">
      <c r="BK918" s="54"/>
      <c r="BL918" s="54"/>
    </row>
    <row r="919" spans="63:64" ht="12.75" customHeight="1">
      <c r="BK919" s="54"/>
      <c r="BL919" s="54"/>
    </row>
    <row r="920" spans="63:64" ht="12.75" customHeight="1">
      <c r="BK920" s="54"/>
      <c r="BL920" s="54"/>
    </row>
    <row r="921" spans="63:64" ht="12.75" customHeight="1">
      <c r="BK921" s="54"/>
      <c r="BL921" s="54"/>
    </row>
    <row r="922" spans="63:64" ht="12.75" customHeight="1">
      <c r="BK922" s="54"/>
      <c r="BL922" s="54"/>
    </row>
    <row r="923" spans="63:64" ht="12.75" customHeight="1">
      <c r="BK923" s="54"/>
      <c r="BL923" s="54"/>
    </row>
    <row r="924" spans="63:64" ht="12.75" customHeight="1">
      <c r="BK924" s="54"/>
      <c r="BL924" s="54"/>
    </row>
    <row r="925" spans="63:64" ht="12.75" customHeight="1">
      <c r="BK925" s="54"/>
      <c r="BL925" s="54"/>
    </row>
    <row r="926" spans="63:64" ht="12.75" customHeight="1">
      <c r="BK926" s="54"/>
      <c r="BL926" s="54"/>
    </row>
    <row r="927" spans="63:64" ht="12.75" customHeight="1">
      <c r="BK927" s="54"/>
      <c r="BL927" s="54"/>
    </row>
    <row r="928" spans="63:64" ht="12.75" customHeight="1">
      <c r="BK928" s="54"/>
      <c r="BL928" s="54"/>
    </row>
    <row r="929" spans="63:64" ht="12.75" customHeight="1">
      <c r="BK929" s="54"/>
      <c r="BL929" s="54"/>
    </row>
    <row r="930" spans="63:64" ht="12.75" customHeight="1">
      <c r="BK930" s="54"/>
      <c r="BL930" s="54"/>
    </row>
    <row r="931" spans="63:64" ht="12.75" customHeight="1">
      <c r="BK931" s="54"/>
      <c r="BL931" s="54"/>
    </row>
    <row r="932" spans="63:64" ht="12.75" customHeight="1">
      <c r="BK932" s="54"/>
      <c r="BL932" s="54"/>
    </row>
    <row r="933" spans="63:64" ht="12.75" customHeight="1">
      <c r="BK933" s="54"/>
      <c r="BL933" s="54"/>
    </row>
    <row r="934" spans="63:64" ht="12.75" customHeight="1">
      <c r="BK934" s="54"/>
      <c r="BL934" s="54"/>
    </row>
    <row r="935" spans="63:64" ht="12.75" customHeight="1">
      <c r="BK935" s="54"/>
      <c r="BL935" s="54"/>
    </row>
    <row r="936" spans="63:64" ht="12.75" customHeight="1">
      <c r="BK936" s="54"/>
      <c r="BL936" s="54"/>
    </row>
    <row r="937" spans="63:64" ht="12.75" customHeight="1">
      <c r="BK937" s="54"/>
      <c r="BL937" s="54"/>
    </row>
    <row r="938" spans="63:64" ht="12.75" customHeight="1">
      <c r="BK938" s="54"/>
      <c r="BL938" s="54"/>
    </row>
    <row r="939" spans="63:64" ht="12.75" customHeight="1">
      <c r="BK939" s="54"/>
      <c r="BL939" s="54"/>
    </row>
    <row r="940" spans="63:64" ht="12.75" customHeight="1">
      <c r="BK940" s="54"/>
      <c r="BL940" s="54"/>
    </row>
    <row r="941" spans="63:64" ht="12.75" customHeight="1">
      <c r="BK941" s="54"/>
      <c r="BL941" s="54"/>
    </row>
    <row r="942" spans="63:64" ht="12.75" customHeight="1">
      <c r="BK942" s="54"/>
      <c r="BL942" s="54"/>
    </row>
    <row r="943" spans="63:64" ht="12.75" customHeight="1">
      <c r="BK943" s="54"/>
      <c r="BL943" s="54"/>
    </row>
    <row r="944" spans="63:64" ht="12.75" customHeight="1">
      <c r="BK944" s="54"/>
      <c r="BL944" s="54"/>
    </row>
    <row r="945" spans="63:64" ht="12.75" customHeight="1">
      <c r="BK945" s="54"/>
      <c r="BL945" s="54"/>
    </row>
    <row r="946" spans="63:64" ht="12.75" customHeight="1">
      <c r="BK946" s="54"/>
      <c r="BL946" s="54"/>
    </row>
    <row r="947" spans="63:64" ht="12.75" customHeight="1">
      <c r="BK947" s="54"/>
      <c r="BL947" s="54"/>
    </row>
    <row r="948" spans="63:64" ht="12.75" customHeight="1">
      <c r="BK948" s="54"/>
      <c r="BL948" s="54"/>
    </row>
    <row r="949" spans="63:64" ht="12.75" customHeight="1">
      <c r="BK949" s="54"/>
      <c r="BL949" s="54"/>
    </row>
    <row r="950" spans="63:64" ht="12.75" customHeight="1">
      <c r="BK950" s="54"/>
      <c r="BL950" s="54"/>
    </row>
    <row r="951" spans="63:64" ht="12.75" customHeight="1">
      <c r="BK951" s="54"/>
      <c r="BL951" s="54"/>
    </row>
    <row r="952" spans="63:64" ht="12.75" customHeight="1">
      <c r="BK952" s="54"/>
      <c r="BL952" s="54"/>
    </row>
    <row r="953" spans="63:64" ht="12.75" customHeight="1">
      <c r="BK953" s="54"/>
      <c r="BL953" s="54"/>
    </row>
    <row r="954" spans="63:64" ht="12.75" customHeight="1">
      <c r="BK954" s="54"/>
      <c r="BL954" s="54"/>
    </row>
    <row r="955" spans="63:64" ht="12.75" customHeight="1">
      <c r="BK955" s="54"/>
      <c r="BL955" s="54"/>
    </row>
    <row r="956" spans="63:64" ht="12.75" customHeight="1">
      <c r="BK956" s="54"/>
      <c r="BL956" s="54"/>
    </row>
    <row r="957" spans="63:64" ht="12.75" customHeight="1">
      <c r="BK957" s="54"/>
      <c r="BL957" s="54"/>
    </row>
    <row r="958" spans="63:64" ht="12.75" customHeight="1">
      <c r="BK958" s="54"/>
      <c r="BL958" s="54"/>
    </row>
    <row r="959" spans="63:64" ht="12.75" customHeight="1">
      <c r="BK959" s="54"/>
      <c r="BL959" s="54"/>
    </row>
    <row r="960" spans="63:64" ht="12.75" customHeight="1">
      <c r="BK960" s="54"/>
      <c r="BL960" s="54"/>
    </row>
    <row r="961" spans="63:64" ht="12.75" customHeight="1">
      <c r="BK961" s="54"/>
      <c r="BL961" s="54"/>
    </row>
    <row r="962" spans="63:64" ht="12.75" customHeight="1">
      <c r="BK962" s="54"/>
      <c r="BL962" s="54"/>
    </row>
    <row r="963" spans="63:64" ht="12.75" customHeight="1">
      <c r="BK963" s="54"/>
      <c r="BL963" s="54"/>
    </row>
    <row r="964" spans="63:64" ht="12.75" customHeight="1">
      <c r="BK964" s="54"/>
      <c r="BL964" s="54"/>
    </row>
    <row r="965" spans="63:64" ht="12.75" customHeight="1">
      <c r="BK965" s="54"/>
      <c r="BL965" s="54"/>
    </row>
    <row r="966" spans="63:64" ht="12.75" customHeight="1">
      <c r="BK966" s="54"/>
      <c r="BL966" s="54"/>
    </row>
    <row r="967" spans="63:64" ht="12.75" customHeight="1">
      <c r="BK967" s="54"/>
      <c r="BL967" s="54"/>
    </row>
    <row r="968" spans="63:64" ht="12.75" customHeight="1">
      <c r="BK968" s="54"/>
      <c r="BL968" s="54"/>
    </row>
    <row r="969" spans="63:64" ht="12.75" customHeight="1">
      <c r="BK969" s="54"/>
      <c r="BL969" s="54"/>
    </row>
    <row r="970" spans="63:64" ht="12.75" customHeight="1">
      <c r="BK970" s="54"/>
      <c r="BL970" s="54"/>
    </row>
    <row r="971" spans="63:64" ht="12.75" customHeight="1">
      <c r="BK971" s="54"/>
      <c r="BL971" s="54"/>
    </row>
    <row r="972" spans="63:64" ht="12.75" customHeight="1">
      <c r="BK972" s="54"/>
      <c r="BL972" s="54"/>
    </row>
    <row r="973" spans="63:64" ht="12.75" customHeight="1">
      <c r="BK973" s="54"/>
      <c r="BL973" s="54"/>
    </row>
    <row r="974" spans="63:64" ht="12.75" customHeight="1">
      <c r="BK974" s="54"/>
      <c r="BL974" s="54"/>
    </row>
    <row r="975" spans="63:64" ht="12.75" customHeight="1">
      <c r="BK975" s="54"/>
      <c r="BL975" s="54"/>
    </row>
    <row r="976" spans="63:64" ht="12.75" customHeight="1">
      <c r="BK976" s="54"/>
      <c r="BL976" s="54"/>
    </row>
    <row r="977" spans="63:64" ht="12.75" customHeight="1">
      <c r="BK977" s="54"/>
      <c r="BL977" s="54"/>
    </row>
    <row r="978" spans="63:64" ht="12.75" customHeight="1">
      <c r="BK978" s="54"/>
      <c r="BL978" s="54"/>
    </row>
    <row r="979" spans="63:64" ht="12.75" customHeight="1">
      <c r="BK979" s="54"/>
      <c r="BL979" s="54"/>
    </row>
    <row r="980" spans="63:64" ht="12.75" customHeight="1">
      <c r="BK980" s="54"/>
      <c r="BL980" s="54"/>
    </row>
    <row r="981" spans="63:64" ht="12.75" customHeight="1">
      <c r="BK981" s="54"/>
      <c r="BL981" s="54"/>
    </row>
    <row r="982" spans="63:64" ht="12.75" customHeight="1">
      <c r="BK982" s="54"/>
      <c r="BL982" s="54"/>
    </row>
    <row r="983" spans="63:64" ht="12.75" customHeight="1">
      <c r="BK983" s="54"/>
      <c r="BL983" s="54"/>
    </row>
    <row r="984" spans="63:64" ht="12.75" customHeight="1">
      <c r="BK984" s="54"/>
      <c r="BL984" s="54"/>
    </row>
  </sheetData>
  <pageMargins left="0.1" right="0.1" top="0.5" bottom="0.5" header="0.5" footer="0.5"/>
  <pageSetup scale="20" fitToHeight="0" orientation="landscape" r:id="rId1"/>
  <headerFooter alignWithMargins="0">
    <oddFooter>&amp;RPage &amp;P of &amp;N</oddFooter>
  </headerFooter>
  <rowBreaks count="3" manualBreakCount="3">
    <brk id="73" max="16383" man="1"/>
    <brk id="198" max="63" man="1"/>
    <brk id="348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Summary</vt:lpstr>
      <vt:lpstr>Org Chart</vt:lpstr>
      <vt:lpstr>Financials</vt:lpstr>
      <vt:lpstr>Financials!Print_Area</vt:lpstr>
      <vt:lpstr>'Org Chart'!Print_Area</vt:lpstr>
      <vt:lpstr>Summary!Print_Area</vt:lpstr>
      <vt:lpstr>Financials!Print_Titles</vt:lpstr>
    </vt:vector>
  </TitlesOfParts>
  <Company>K Capital Partners,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Guowei Zhang</cp:lastModifiedBy>
  <cp:lastPrinted>2026-03-27T03:49:31Z</cp:lastPrinted>
  <dcterms:created xsi:type="dcterms:W3CDTF">2006-07-03T00:04:55Z</dcterms:created>
  <dcterms:modified xsi:type="dcterms:W3CDTF">2026-04-07T02:06:23Z</dcterms:modified>
</cp:coreProperties>
</file>